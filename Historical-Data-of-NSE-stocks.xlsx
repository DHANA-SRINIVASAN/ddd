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Mima\Downloads\"/>
    </mc:Choice>
  </mc:AlternateContent>
  <xr:revisionPtr revIDLastSave="0" documentId="13_ncr:1_{FD37D15D-37EC-4C17-B873-A37DF88C03C3}" xr6:coauthVersionLast="47" xr6:coauthVersionMax="47" xr10:uidLastSave="{00000000-0000-0000-0000-000000000000}"/>
  <bookViews>
    <workbookView xWindow="-120" yWindow="-120" windowWidth="20730" windowHeight="11310" firstSheet="1" activeTab="3" xr2:uid="{0777ADF9-C36E-4350-89CF-19FB8D862DE7}"/>
  </bookViews>
  <sheets>
    <sheet name="Dataset" sheetId="1" r:id="rId1"/>
    <sheet name="Details" sheetId="2" r:id="rId2"/>
    <sheet name="Close" sheetId="3" r:id="rId3"/>
    <sheet name="Open" sheetId="4" r:id="rId4"/>
    <sheet name="High" sheetId="5" r:id="rId5"/>
    <sheet name="Low" sheetId="6" r:id="rId6"/>
    <sheet name="Volume" sheetId="7" r:id="rId7"/>
    <sheet name="Sparkline" sheetId="8" r:id="rId8"/>
    <sheet name="Practice"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6" i="7" l="1"/>
  <c r="H6" i="6"/>
  <c r="H6" i="5"/>
  <c r="H6" i="4"/>
  <c r="H6" i="3"/>
  <c r="C4" i="4" a="1"/>
  <c r="C4" i="3" a="1"/>
  <c r="C3" i="3" a="1"/>
  <c r="C5" i="7" a="1"/>
  <c r="C4" i="7" a="1"/>
  <c r="C3" i="7" a="1"/>
  <c r="C5" i="6" a="1"/>
  <c r="C4" i="6" a="1"/>
  <c r="C5" i="5" a="1"/>
  <c r="C4" i="5" a="1"/>
  <c r="C3" i="5" a="1"/>
  <c r="C5" i="4" a="1"/>
  <c r="C13" i="3" a="1"/>
  <c r="C12" i="3" a="1"/>
  <c r="C11" i="3" a="1"/>
  <c r="C10" i="3" a="1"/>
  <c r="C9" i="3" a="1"/>
  <c r="C8" i="3" a="1"/>
  <c r="C7" i="3" a="1"/>
  <c r="C6" i="3" a="1"/>
  <c r="C5" i="3" a="1"/>
  <c r="C3" i="4" a="1"/>
  <c r="C4" i="4" l="1"/>
  <c r="C4" i="3"/>
  <c r="C3" i="3"/>
  <c r="C5" i="7"/>
  <c r="C4" i="7"/>
  <c r="C3" i="7"/>
  <c r="C5" i="6"/>
  <c r="C4" i="6"/>
  <c r="C5" i="5"/>
  <c r="C4" i="5"/>
  <c r="C3" i="5"/>
  <c r="C5" i="4"/>
  <c r="C5" i="3"/>
  <c r="C6" i="3"/>
  <c r="C7" i="3"/>
  <c r="C8" i="3"/>
  <c r="C9" i="3"/>
  <c r="C10" i="3"/>
  <c r="C11" i="3"/>
  <c r="C12" i="3"/>
  <c r="C13" i="3"/>
  <c r="C3" i="4"/>
  <c r="C6" i="7" a="1"/>
  <c r="C7" i="7" a="1"/>
  <c r="C8" i="7" a="1"/>
  <c r="C13" i="7" a="1"/>
  <c r="C12" i="7" a="1"/>
  <c r="C11" i="7" a="1"/>
  <c r="C10" i="7" a="1"/>
  <c r="C9" i="7" a="1"/>
  <c r="C6" i="6" a="1"/>
  <c r="C7" i="6" a="1"/>
  <c r="C12" i="6" a="1"/>
  <c r="C13" i="6" a="1"/>
  <c r="C10" i="6" a="1"/>
  <c r="C11" i="6" a="1"/>
  <c r="C8" i="6" a="1"/>
  <c r="C9" i="6" a="1"/>
  <c r="C3" i="6" a="1"/>
  <c r="C6" i="5" a="1"/>
  <c r="C7" i="5" a="1"/>
  <c r="C12" i="5" a="1"/>
  <c r="C13" i="5" a="1"/>
  <c r="C10" i="5" a="1"/>
  <c r="C11" i="5" a="1"/>
  <c r="C8" i="5" a="1"/>
  <c r="C9" i="5" a="1"/>
  <c r="C6" i="4" a="1"/>
  <c r="C7" i="4" a="1"/>
  <c r="C12" i="4" a="1"/>
  <c r="C13" i="4" a="1"/>
  <c r="C10" i="4" a="1"/>
  <c r="C11" i="4" a="1"/>
  <c r="C8" i="4" a="1"/>
  <c r="C9" i="4" a="1"/>
  <c r="C9" i="7" l="1"/>
  <c r="C10" i="7"/>
  <c r="C11" i="7"/>
  <c r="C12" i="7"/>
  <c r="C13" i="7"/>
  <c r="C8" i="7"/>
  <c r="C7" i="7"/>
  <c r="C6" i="7"/>
  <c r="C9" i="6"/>
  <c r="C8" i="6"/>
  <c r="C11" i="6"/>
  <c r="C10" i="6"/>
  <c r="C13" i="6"/>
  <c r="C12" i="6"/>
  <c r="C7" i="6"/>
  <c r="C6" i="6"/>
  <c r="C3" i="6"/>
  <c r="C9" i="5"/>
  <c r="C8" i="5"/>
  <c r="C11" i="5"/>
  <c r="C10" i="5"/>
  <c r="C13" i="5"/>
  <c r="C12" i="5"/>
  <c r="C7" i="5"/>
  <c r="C6" i="5"/>
  <c r="C9" i="4"/>
  <c r="C8" i="4"/>
  <c r="C11" i="4"/>
  <c r="C10" i="4"/>
  <c r="C13" i="4"/>
  <c r="C12" i="4"/>
  <c r="C7" i="4"/>
  <c r="C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1">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futureMetadata>
  <cellMetadata count="1">
    <bk>
      <rc t="1" v="0"/>
    </bk>
  </cellMetadata>
  <valueMetadata count="26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valueMetadata>
</metadata>
</file>

<file path=xl/sharedStrings.xml><?xml version="1.0" encoding="utf-8"?>
<sst xmlns="http://schemas.openxmlformats.org/spreadsheetml/2006/main" count="142" uniqueCount="25">
  <si>
    <t>Some Company of NSE</t>
  </si>
  <si>
    <t>Symbol</t>
  </si>
  <si>
    <t>RELIANCE</t>
  </si>
  <si>
    <t>TCS</t>
  </si>
  <si>
    <t>HDFCBANK</t>
  </si>
  <si>
    <t>INFY</t>
  </si>
  <si>
    <t>ICICIBANK</t>
  </si>
  <si>
    <t>HINDUNILVR</t>
  </si>
  <si>
    <t>COALINDIA</t>
  </si>
  <si>
    <t>IOC</t>
  </si>
  <si>
    <t>GRASIM</t>
  </si>
  <si>
    <t>LTI</t>
  </si>
  <si>
    <t>Full Form</t>
  </si>
  <si>
    <t>Getting Historical data of NSE Stocks</t>
  </si>
  <si>
    <t>Starting Date</t>
  </si>
  <si>
    <t>Closing Date</t>
  </si>
  <si>
    <t/>
  </si>
  <si>
    <t>Jan</t>
  </si>
  <si>
    <t>Feb</t>
  </si>
  <si>
    <t>March</t>
  </si>
  <si>
    <t>April</t>
  </si>
  <si>
    <t>May</t>
  </si>
  <si>
    <t>Sparklines of Stocks</t>
  </si>
  <si>
    <t>Line Nature</t>
  </si>
  <si>
    <t>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</si>
</sst>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8"/>
      <color theme="1"/>
      <name val="Calibri"/>
      <family val="2"/>
      <scheme val="minor"/>
    </font>
    <font>
      <b/>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xf numFmtId="14" fontId="0" fillId="0" borderId="1" xfId="0" applyNumberFormat="1" applyBorder="1" applyAlignment="1">
      <alignment horizontal="center" vertical="center"/>
    </xf>
    <xf numFmtId="14" fontId="2" fillId="4" borderId="1" xfId="0" applyNumberFormat="1" applyFont="1" applyFill="1" applyBorder="1" applyAlignment="1">
      <alignment horizontal="center" vertical="center"/>
    </xf>
    <xf numFmtId="0" fontId="0" fillId="0" borderId="0" xfId="0" quotePrefix="1"/>
    <xf numFmtId="0" fontId="0" fillId="0" borderId="1" xfId="0" applyBorder="1" applyAlignment="1">
      <alignment horizontal="center" vertical="center"/>
    </xf>
  </cellXfs>
  <cellStyles count="1">
    <cellStyle name="Normal" xfId="0" builtinId="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51">
  <a r="1" c="5">
    <v t="i">0</v>
    <v t="i">31</v>
    <v t="i">59</v>
    <v t="i">90</v>
    <v t="i">120</v>
  </a>
  <a r="1" c="5">
    <v>1195</v>
    <v>1165</v>
    <v>1105</v>
    <v>1217.5</v>
    <v>1062.5</v>
  </a>
  <a r="1" c="5">
    <v>1300</v>
    <v>1190</v>
    <v>1170</v>
    <v>1145</v>
    <v>1185</v>
  </a>
  <a r="1" c="5">
    <v>1425</v>
    <v>1300</v>
    <v>1240</v>
    <v>1280</v>
    <v>1220</v>
  </a>
  <a r="1" c="5">
    <v>1160.2</v>
    <v>1100</v>
    <v>1040</v>
    <v>1084.71</v>
    <v>994</v>
  </a>
  <a r="1" c="5">
    <v>5752</v>
    <v>3712</v>
    <v>4613</v>
    <v>2782</v>
    <v>3402</v>
  </a>
  <a r="1" c="5">
    <v>788.8</v>
    <v>742.7</v>
    <v>730.3</v>
    <v>743.3</v>
    <v>713.35</v>
  </a>
  <a r="1" c="5">
    <v>743.05</v>
    <v>802.05</v>
    <v>717</v>
    <v>725</v>
    <v>732</v>
  </a>
  <a r="1" c="5">
    <v>836</v>
    <v>818.7</v>
    <v>739.9</v>
    <v>777.9</v>
    <v>747</v>
  </a>
  <a r="1" c="5">
    <v>743</v>
    <v>702.3</v>
    <v>642.15</v>
    <v>723.1</v>
    <v>675</v>
  </a>
  <a r="1" c="5">
    <v>279251169</v>
    <v>288255231</v>
    <v>423463671</v>
    <v>331468931</v>
    <v>220122812</v>
  </a>
  <a r="1" c="5">
    <v>2386.6</v>
    <v>2359.5500000000002</v>
    <v>2634.75</v>
    <v>2790.25</v>
    <v>2612</v>
  </a>
  <a r="1" c="5">
    <v>2365</v>
    <v>2408</v>
    <v>2334.4499999999998</v>
    <v>2636</v>
    <v>2762</v>
  </a>
  <a r="1" c="5">
    <v>2567.3000000000002</v>
    <v>2456.4</v>
    <v>2688</v>
    <v>2856.15</v>
    <v>2805.5</v>
  </a>
  <a r="1" c="5">
    <v>2305</v>
    <v>2243</v>
    <v>2180</v>
    <v>2521.8000000000002</v>
    <v>2370</v>
  </a>
  <a r="1" c="5">
    <v>126710759</v>
    <v>115883508</v>
    <v>145025237</v>
    <v>136208977</v>
    <v>131466337</v>
  </a>
  <a r="1" c="5">
    <v>10.199999999999999</v>
    <v>8.83</v>
    <v>8.17</v>
    <v>7.65</v>
    <v>7.13</v>
  </a>
  <a r="1" c="5">
    <v>10.18</v>
    <v>10.14</v>
    <v>8.7100000000000009</v>
    <v>8.19</v>
    <v>7.62</v>
  </a>
  <a r="1" c="5">
    <v>11.58</v>
    <v>10.64</v>
    <v>8.93</v>
    <v>8.57</v>
    <v>8.26</v>
  </a>
  <a r="1" c="5">
    <v>9.34</v>
    <v>7.8</v>
    <v>7.73</v>
    <v>7.37</v>
    <v>6.7</v>
  </a>
  <a r="1" c="5">
    <v>13022411</v>
    <v>21739266</v>
    <v>12585457</v>
    <v>6790791</v>
    <v>12279140</v>
  </a>
  <a r="1" c="5">
    <v>159.80000000000001</v>
    <v>169.55</v>
    <v>183.05</v>
    <v>182.85</v>
    <v>180.7</v>
  </a>
  <a r="1" c="5">
    <v>147.25</v>
    <v>162</v>
    <v>171</v>
    <v>183.8</v>
    <v>182.7</v>
  </a>
  <a r="1" c="5">
    <v>168.25</v>
    <v>170.3</v>
    <v>197.75</v>
    <v>209</v>
    <v>191.95</v>
  </a>
  <a r="1" c="5">
    <v>147</v>
    <v>149</v>
    <v>171</v>
    <v>181.9</v>
    <v>164.65</v>
  </a>
  <a r="1" c="5">
    <v>236859726</v>
    <v>258456678</v>
    <v>483313899</v>
    <v>436474466</v>
    <v>230600753</v>
  </a>
  <a r="1" c="5">
    <v>23.57</v>
    <v>22.46</v>
    <v>24.89</v>
    <v>19.87</v>
    <v>18.14</v>
  </a>
  <a r="1" c="5">
    <v>25.39</v>
    <v>23.51</v>
    <v>22.39</v>
    <v>25.12</v>
    <v>19.88</v>
  </a>
  <a r="1" c="5">
    <v>26.39</v>
    <v>23.844999999999999</v>
    <v>25.204999999999998</v>
    <v>25.13</v>
    <v>20.79</v>
  </a>
  <a r="1" c="5">
    <v>21.72</v>
    <v>21.04</v>
    <v>22.035</v>
    <v>19.75</v>
    <v>17.899999999999999</v>
  </a>
  <a r="1" c="5">
    <v>238121083</v>
    <v>215212584</v>
    <v>227337315</v>
    <v>255888517</v>
    <v>196083512</v>
  </a>
  <a r="1" c="5">
    <v>1727.5</v>
    <v>1598.5</v>
    <v>1664</v>
    <v>1692.3</v>
    <v>1375.55</v>
  </a>
  <a r="1" c="5">
    <v>1629.75</v>
    <v>1736.6</v>
    <v>1572</v>
    <v>1661.2</v>
    <v>1676</v>
  </a>
  <a r="1" c="5">
    <v>1929.8</v>
    <v>1790</v>
    <v>1678.6</v>
    <v>1830.9</v>
    <v>1703.5</v>
  </a>
  <a r="1" c="5">
    <v>1617</v>
    <v>1535</v>
    <v>1407.2</v>
    <v>1658</v>
    <v>1356.8</v>
  </a>
  <a r="1" c="5">
    <v>21532338</v>
    <v>17508860</v>
    <v>25806241</v>
    <v>19309544</v>
    <v>15629609</v>
  </a>
  <a r="1" c="5">
    <v>125.2</v>
    <v>115</v>
    <v>118.95</v>
    <v>126</v>
    <v>114.8</v>
  </a>
  <a r="1" c="5">
    <v>111.5</v>
    <v>126</v>
    <v>113.75</v>
    <v>119.1</v>
    <v>125.95</v>
  </a>
  <a r="1" c="5">
    <v>128</v>
    <v>126</v>
    <v>124.85</v>
    <v>136.05000000000001</v>
    <v>128.69999999999999</v>
  </a>
  <a r="1" c="5">
    <v>111.35</v>
    <v>109.3</v>
    <v>111.2</v>
    <v>119</v>
    <v>114.2</v>
  </a>
  <a r="1" c="5">
    <v>185962312</v>
    <v>230320901</v>
    <v>413481532</v>
    <v>237869817</v>
    <v>225613894</v>
  </a>
  <a r="1" c="5">
    <v>2273.75</v>
    <v>2172.1</v>
    <v>2048.65</v>
    <v>2234.85</v>
    <v>2298.6999999999998</v>
  </a>
  <a r="1" c="5">
    <v>2378</v>
    <v>2303.3000000000002</v>
    <v>2128.9499999999998</v>
    <v>2054.9</v>
    <v>2220</v>
  </a>
  <a r="1" c="5">
    <v>2425</v>
    <v>2333</v>
    <v>2167.9499999999998</v>
    <v>2290</v>
    <v>2388</v>
  </a>
  <a r="1" c="5">
    <v>2240.9</v>
    <v>2120</v>
    <v>1901.55</v>
    <v>2038.4</v>
    <v>2106.1999999999998</v>
  </a>
  <a r="1" c="5">
    <v>35155340</v>
    <v>28162744</v>
    <v>59675399</v>
    <v>39286419</v>
    <v>32039725</v>
  </a>
  <a r="1" c="5">
    <v>1485.7</v>
    <v>1426.25</v>
    <v>1470.35</v>
    <v>1384.6</v>
    <v>1328.8</v>
  </a>
  <a r="1" c="5">
    <v>1485</v>
    <v>1508.5</v>
    <v>1386.5</v>
    <v>1476.4</v>
    <v>1362.05</v>
  </a>
  <a r="1" c="5">
    <v>1576.65</v>
    <v>1539.95</v>
    <v>1518.8</v>
    <v>1722.1</v>
    <v>1406.45</v>
  </a>
  <a r="1" c="5">
    <v>1435</v>
    <v>1407.15</v>
    <v>1292</v>
    <v>1322.25</v>
    <v>1278.3</v>
  </a>
  <a r="1" c="5">
    <v>156401807</v>
    <v>129636002</v>
    <v>214562417</v>
    <v>338232212</v>
    <v>162076689</v>
  </a>
</arrayData>
</file>

<file path=xl/richData/rdrichvalue.xml><?xml version="1.0" encoding="utf-8"?>
<rvData xmlns="http://schemas.microsoft.com/office/spreadsheetml/2017/richdata" count="331">
  <rv s="0">
    <v>https://www.bing.com/financeapi/forcetrigger?t=ahjo52&amp;q=XNSE%3aRELIANCE&amp;form=skydnc</v>
    <v>Learn more on Bing</v>
  </rv>
  <rv s="1">
    <v>en-US</v>
    <v>ahjo52</v>
    <v>268435456</v>
    <v>1</v>
    <v>Powered by Refinitiv</v>
    <v>0</v>
    <v>RELIANCE INDUSTRIES LIMITED (XNSE:RELIANCE)</v>
    <v>2</v>
    <v>3</v>
    <v>Finance</v>
    <v>4</v>
    <v>2856.15</v>
    <v>1960</v>
    <v>1.1555</v>
    <v>-24.9</v>
    <v>-9.5329999999999998E-3</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2634.9</v>
    <v>Oil &amp; Gas</v>
    <v>Stock</v>
    <v>44707.417523148149</v>
    <v>0</v>
    <v>2548</v>
    <v>17679940000000</v>
    <v>RELIANCE INDUSTRIES LIMITED</v>
    <v>RELIANCE INDUSTRIES LIMITED</v>
    <v>2624.4</v>
    <v>28.68</v>
    <v>2612</v>
    <v>2587.1</v>
    <v>6769823000</v>
    <v>RELIANCE</v>
    <v>RELIANCE INDUSTRIES LIMITED (XNSE:RELIANCE)</v>
    <v>8251722</v>
    <v>7798530</v>
    <v>1973</v>
  </rv>
  <rv s="2">
    <v>1</v>
  </rv>
  <rv s="0">
    <v>https://www.bing.com/financeapi/forcetrigger?t=ahkau2&amp;q=XNSE%3aTCS&amp;form=skydnc</v>
    <v>Learn more on Bing</v>
  </rv>
  <rv s="1">
    <v>en-US</v>
    <v>ahkau2</v>
    <v>268435456</v>
    <v>1</v>
    <v>Powered by Refinitiv</v>
    <v>0</v>
    <v>TATA CONSULTANCY SERVICES LIMITED (XNSE:TCS)</v>
    <v>2</v>
    <v>3</v>
    <v>Finance</v>
    <v>4</v>
    <v>4043</v>
    <v>3072</v>
    <v>0.65910000000000002</v>
    <v>59.3</v>
    <v>1.8721000000000002E-2</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592195</v>
    <v>National Stock Exchange of India</v>
    <v>XNSE</v>
    <v>XNSE</v>
    <v>TCS House, Raveline Street,, Fort,, MUMBAI, MAHARASHTRA, 400001 IN</v>
    <v>3241.5</v>
    <v>Software &amp; IT Services</v>
    <v>Stock</v>
    <v>44707.417511574073</v>
    <v>3</v>
    <v>3180.55</v>
    <v>11590590000000</v>
    <v>TATA CONSULTANCY SERVICES LIMITED</v>
    <v>TATA CONSULTANCY SERVICES LIMITED</v>
    <v>3191</v>
    <v>30.57</v>
    <v>3167.65</v>
    <v>3226.95</v>
    <v>3659051000</v>
    <v>TCS</v>
    <v>TATA CONSULTANCY SERVICES LIMITED (XNSE:TCS)</v>
    <v>2812651</v>
    <v>2336680</v>
    <v>1995</v>
  </rv>
  <rv s="2">
    <v>4</v>
  </rv>
  <rv s="0">
    <v>https://www.bing.com/financeapi/forcetrigger?t=ahi3jc&amp;q=XNSE%3aHDFCBANK&amp;form=skydnc</v>
    <v>Learn more on Bing</v>
  </rv>
  <rv s="1">
    <v>en-US</v>
    <v>ahi3jc</v>
    <v>268435456</v>
    <v>1</v>
    <v>Powered by Refinitiv</v>
    <v>0</v>
    <v>HDFC BANK LIMITED (XNSE:HDFCBANK)</v>
    <v>2</v>
    <v>3</v>
    <v>Finance</v>
    <v>4</v>
    <v>1725</v>
    <v>1278.3</v>
    <v>1.0921000000000001</v>
    <v>37.9</v>
    <v>2.8521999999999999E-2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1371</v>
    <v>Banking Services</v>
    <v>Stock</v>
    <v>44707.417523148149</v>
    <v>6</v>
    <v>1340</v>
    <v>7376527000000</v>
    <v>HDFC BANK LIMITED</v>
    <v>HDFC BANK LIMITED</v>
    <v>1342.15</v>
    <v>19.329999999999998</v>
    <v>1328.8</v>
    <v>1366.7</v>
    <v>5551270000</v>
    <v>HDFCBANK</v>
    <v>HDFC BANK LIMITED (XNSE:HDFCBANK)</v>
    <v>13485229</v>
    <v>8262280</v>
    <v>1994</v>
  </rv>
  <rv s="2">
    <v>7</v>
  </rv>
  <rv s="0">
    <v>https://www.bing.com/financeapi/forcetrigger?t=ahicim&amp;q=XNSE%3aINFY&amp;form=skydnc</v>
    <v>Learn more on Bing</v>
  </rv>
  <rv s="1">
    <v>en-US</v>
    <v>ahicim</v>
    <v>268435456</v>
    <v>1</v>
    <v>Powered by Refinitiv</v>
    <v>0</v>
    <v>INFOSYS LIMITED (XNSE:INFY)</v>
    <v>2</v>
    <v>3</v>
    <v>Finance</v>
    <v>4</v>
    <v>1953.9</v>
    <v>1345.1</v>
    <v>0.69350000000000001</v>
    <v>13.5</v>
    <v>9.5709999999999996E-3</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1430</v>
    <v>Software &amp; IT Services</v>
    <v>Stock</v>
    <v>44707.417523148149</v>
    <v>9</v>
    <v>1407.05</v>
    <v>5913128000000</v>
    <v>INFOSYS LIMITED</v>
    <v>INFOSYS LIMITED</v>
    <v>1418</v>
    <v>26.85</v>
    <v>1410.45</v>
    <v>1423.95</v>
    <v>4192370000</v>
    <v>INFY</v>
    <v>INFOSYS LIMITED (XNSE:INFY)</v>
    <v>13039331</v>
    <v>7949140</v>
    <v>1981</v>
  </rv>
  <rv s="2">
    <v>10</v>
  </rv>
  <rv s="0">
    <v>https://www.bing.com/financeapi/forcetrigger?t=ahi877&amp;q=XNSE%3aICICIBANK&amp;form=skydnc</v>
    <v>Learn more on Bing</v>
  </rv>
  <rv s="1">
    <v>en-US</v>
    <v>ahi877</v>
    <v>268435456</v>
    <v>1</v>
    <v>Powered by Refinitiv</v>
    <v>0</v>
    <v>ICICI BANK LIMITED (XNSE:ICICIBANK)</v>
    <v>2</v>
    <v>3</v>
    <v>Finance</v>
    <v>4</v>
    <v>867</v>
    <v>616.25</v>
    <v>1.2964</v>
    <v>15.15</v>
    <v>2.1238E-2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733</v>
    <v>Banking Services</v>
    <v>Stock</v>
    <v>44707.417523148149</v>
    <v>12</v>
    <v>715.45</v>
    <v>4959448000000</v>
    <v>ICICI BANK LIMITED</v>
    <v>ICICI BANK LIMITED</v>
    <v>723</v>
    <v>19.71</v>
    <v>713.35</v>
    <v>728.5</v>
    <v>6951948000</v>
    <v>ICICIBANK</v>
    <v>ICICI BANK LIMITED (XNSE:ICICIBANK)</v>
    <v>14028062</v>
    <v>13911970</v>
    <v>1994</v>
  </rv>
  <rv s="2">
    <v>13</v>
  </rv>
  <rv s="0">
    <v>https://www.bing.com/financeapi/forcetrigger?t=ahi62w&amp;q=XNSE%3aHINDUNILVR&amp;form=skydnc</v>
    <v>Learn more on Bing</v>
  </rv>
  <rv s="1">
    <v>en-US</v>
    <v>ahi62w</v>
    <v>268435456</v>
    <v>1</v>
    <v>Powered by Refinitiv</v>
    <v>0</v>
    <v>HINDUSTAN UNILEVER LIMITED (XNSE:HINDUNILVR)</v>
    <v>2</v>
    <v>3</v>
    <v>Finance</v>
    <v>4</v>
    <v>2859.3</v>
    <v>1901.55</v>
    <v>0.2034</v>
    <v>-18.5</v>
    <v>-8.0479999999999996E-3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2296</v>
    <v>Personal &amp; Household Products &amp; Services</v>
    <v>Stock</v>
    <v>44707.417523148149</v>
    <v>15</v>
    <v>2258</v>
    <v>5401006000000</v>
    <v>HINDUSTAN UNILEVER LIMITED</v>
    <v>HINDUSTAN UNILEVER LIMITED</v>
    <v>2290.15</v>
    <v>60.86</v>
    <v>2298.6999999999998</v>
    <v>2280.1999999999998</v>
    <v>2349591000</v>
    <v>HINDUNILVR</v>
    <v>HINDUSTAN UNILEVER LIMITED (XNSE:HINDUNILVR)</v>
    <v>2299098</v>
    <v>2081280</v>
    <v>1933</v>
  </rv>
  <rv s="2">
    <v>16</v>
  </rv>
  <rv s="0">
    <v>https://www.bing.com/financeapi/forcetrigger?t=ahherw&amp;q=XNSE%3aCOALINDIA&amp;form=skydnc</v>
    <v>Learn more on Bing</v>
  </rv>
  <rv s="1">
    <v>en-US</v>
    <v>ahherw</v>
    <v>268435456</v>
    <v>1</v>
    <v>Powered by Refinitiv</v>
    <v>0</v>
    <v>COAL INDIA LTD (XNSE:COALINDIA)</v>
    <v>2</v>
    <v>3</v>
    <v>Finance</v>
    <v>4</v>
    <v>209</v>
    <v>132.75</v>
    <v>0.7601</v>
    <v>2.5499999999999998</v>
    <v>1.4112E-2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186</v>
    <v>Coal</v>
    <v>Stock</v>
    <v>44707.417673611111</v>
    <v>18</v>
    <v>177.75</v>
    <v>1113605000000</v>
    <v>COAL INDIA LTD</v>
    <v>COAL INDIA LTD</v>
    <v>183.95</v>
    <v>13.5</v>
    <v>180.7</v>
    <v>183.25</v>
    <v>6162729000</v>
    <v>COALINDIA</v>
    <v>COAL INDIA LTD (XNSE:COALINDIA)</v>
    <v>23137841</v>
    <v>12572130</v>
    <v>1973</v>
  </rv>
  <rv s="2">
    <v>19</v>
  </rv>
  <rv s="0">
    <v>https://www.bing.com/financeapi/forcetrigger?t=ahidf2&amp;q=XNSE%3aIOC&amp;form=skydnc</v>
    <v>Learn more on Bing</v>
  </rv>
  <rv s="1">
    <v>en-US</v>
    <v>ahidf2</v>
    <v>268435456</v>
    <v>1</v>
    <v>Powered by Refinitiv</v>
    <v>0</v>
    <v>INDIAN OIL CORPORATION LIMITED (XNSE:IOC)</v>
    <v>2</v>
    <v>3</v>
    <v>Finance</v>
    <v>4</v>
    <v>141.5</v>
    <v>101.9</v>
    <v>0.84289999999999998</v>
    <v>-0.6</v>
    <v>-5.2259999999999997E-3</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115.8</v>
    <v>Oil &amp; Gas</v>
    <v>Stock</v>
    <v>44707.417581018519</v>
    <v>21</v>
    <v>111.85</v>
    <v>1080746000000</v>
    <v>INDIAN OIL CORPORATION LIMITED</v>
    <v>INDIAN OIL CORPORATION LIMITED</v>
    <v>115</v>
    <v>4.2300000000000004</v>
    <v>114.8</v>
    <v>114.2</v>
    <v>9414159000</v>
    <v>IOC</v>
    <v>INDIAN OIL CORPORATION LIMITED (XNSE:IOC)</v>
    <v>15853254</v>
    <v>16982700</v>
    <v>1959</v>
  </rv>
  <rv s="2">
    <v>22</v>
  </rv>
  <rv s="0">
    <v>https://www.bing.com/financeapi/forcetrigger?t=ahhyrw&amp;q=XNSE%3aGRASIM&amp;form=skydnc</v>
    <v>Learn more on Bing</v>
  </rv>
  <rv s="1">
    <v>en-US</v>
    <v>ahhyrw</v>
    <v>268435456</v>
    <v>1</v>
    <v>Powered by Refinitiv</v>
    <v>0</v>
    <v>GRASIM INDUSTRIES LTD (XNSE:GRASIM)</v>
    <v>2</v>
    <v>3</v>
    <v>Finance</v>
    <v>4</v>
    <v>1929.8</v>
    <v>1340.25</v>
    <v>0.92959999999999998</v>
    <v>17</v>
    <v>1.2359E-2</v>
    <v>INR</v>
    <v>Grasim Industries Limited is an India-based company that is primarily engaged in producing viscose and chemicals. The Company’s segments include Viscose, Chemicals, Cement, Financial Services and Equity Broking. The Viscose segment includes viscose staple fiber, wood pulp and viscose filament yarn. The Chemicals segment includes caustic soda, allied chemicals and epoxy. The Cement segment includes grey cement, white cement and allied products. The Financial Services segment non-bank financial services, life insurance services, asset management (AMC), housing finance, equity broking, wealth management, general insurance advisory and health insurance. It also includes textiles, insulators and solar power. Its plants are located in Madhya Pradesh, Maharashtra, Gujarat and West Bengal. The Company’s wholly owned subsidiaries include ABNL Investment Limited, Aditya Birla Renewables Limited, Aditya Birla Solar Limited and Samruddhi Swastik Trading and Investments Limited.</v>
    <v>23561</v>
    <v>National Stock Exchange of India</v>
    <v>XNSE</v>
    <v>XNSE</v>
    <v>A-2, Aditya Birla Centre, S.K. Ahire Marg,, MUMBAI, MAHARASHTRA, 400030 IN</v>
    <v>1400.85</v>
    <v>Construction Materials</v>
    <v>Stock</v>
    <v>44707.417523148149</v>
    <v>24</v>
    <v>1340.25</v>
    <v>903408500000</v>
    <v>GRASIM INDUSTRIES LTD</v>
    <v>GRASIM INDUSTRIES LTD</v>
    <v>1392</v>
    <v>12.84</v>
    <v>1375.55</v>
    <v>1392.55</v>
    <v>656761700</v>
    <v>GRASIM</v>
    <v>GRASIM INDUSTRIES LTD (XNSE:GRASIM)</v>
    <v>1556386</v>
    <v>834650</v>
    <v>1947</v>
  </rv>
  <rv s="2">
    <v>25</v>
  </rv>
  <rv s="0">
    <v>https://www.bing.com/financeapi/forcetrigger?t=ahis4c&amp;q=XNSE%3aLTI&amp;form=skydnc</v>
    <v>Learn more on Bing</v>
  </rv>
  <rv s="1">
    <v>en-US</v>
    <v>ahis4c</v>
    <v>268435456</v>
    <v>1</v>
    <v>Powered by Refinitiv</v>
    <v>0</v>
    <v>LARSEN &amp; TOUBRO INFOTECH LIMITED (XNSE:LTI)</v>
    <v>2</v>
    <v>3</v>
    <v>Finance</v>
    <v>4</v>
    <v>7588.8</v>
    <v>3635.15</v>
    <v>0.90459999999999996</v>
    <v>50.55</v>
    <v>1.3220000000000001E-2</v>
    <v>INR</v>
    <v>Larsen &amp; Toubro Infotech Limited is an India-based technology consulting and digital solutions company. The Company’s segments include Banking, Financial Services and Insurance; Manufacturing; Energy and Utilities; High-Tech, Media and Entertainment, and CPG, Retail, Pharma and Others. Its services include cloud and infrastructure service, consulting services, agile, assurance and quality engineering, cyber defense resiliency service, application development and maintenance, and system integration. It offers a range of platform, which include Fosfor, LTI Infinity, LTI Canvas, Unitrax, REDaxis, iCEOn, Advanced Smart City Operating Platform and Mosaic AIOps. Its RapidAdopt is a cloud assessment framework that enables organizations to assess their cloud readiness through a range of analytical questions and dimensions. Its Unitrax is a solution-as-a-service (SaaS)-based solution that caters to the record-keeping needs of fund managers, banks and insurance providers.</v>
    <v>44200</v>
    <v>National Stock Exchange of India</v>
    <v>XNSE</v>
    <v>XNSE</v>
    <v>L&amp;T Technology Center, Gate No.5, Saki Vihar Road,, Powai, Mumbai 400 072, MUMBAI, MAHARASHTRA, 400072 IN</v>
    <v>3901.95</v>
    <v>Software &amp; IT Services</v>
    <v>Stock</v>
    <v>44707.417523148149</v>
    <v>27</v>
    <v>3733.3</v>
    <v>670196600000</v>
    <v>LARSEN &amp; TOUBRO INFOTECH LIMITED</v>
    <v>LARSEN &amp; TOUBRO INFOTECH LIMITED</v>
    <v>3850</v>
    <v>29.15</v>
    <v>3823.7</v>
    <v>3874.25</v>
    <v>175274400</v>
    <v>LTI</v>
    <v>LARSEN &amp; TOUBRO INFOTECH LIMITED (XNSE:LTI)</v>
    <v>480762</v>
    <v>636390</v>
    <v>1996</v>
  </rv>
  <rv s="2">
    <v>28</v>
  </rv>
  <rv s="3">
    <fb>44562</fb>
    <v>5</v>
  </rv>
  <rv s="3">
    <fb>44593</fb>
    <v>5</v>
  </rv>
  <rv s="3">
    <fb>44621</fb>
    <v>5</v>
  </rv>
  <rv s="3">
    <fb>44652</fb>
    <v>5</v>
  </rv>
  <rv s="3">
    <fb>44682</fb>
    <v>5</v>
  </rv>
  <rv s="3">
    <fb>2386.6</fb>
    <v>6</v>
  </rv>
  <rv s="3">
    <fb>2359.5500000000002</fb>
    <v>6</v>
  </rv>
  <rv s="3">
    <fb>2634.75</fb>
    <v>6</v>
  </rv>
  <rv s="3">
    <fb>2790.25</fb>
    <v>6</v>
  </rv>
  <rv s="3">
    <fb>2612</fb>
    <v>6</v>
  </rv>
  <rv s="3">
    <fb>10.199999999999999</fb>
    <v>7</v>
  </rv>
  <rv s="3">
    <fb>8.83</fb>
    <v>7</v>
  </rv>
  <rv s="3">
    <fb>8.17</fb>
    <v>7</v>
  </rv>
  <rv s="3">
    <fb>7.65</fb>
    <v>7</v>
  </rv>
  <rv s="3">
    <fb>7.13</fb>
    <v>7</v>
  </rv>
  <rv s="3">
    <fb>1485.7</fb>
    <v>6</v>
  </rv>
  <rv s="3">
    <fb>1426.25</fb>
    <v>6</v>
  </rv>
  <rv s="3">
    <fb>1470.35</fb>
    <v>6</v>
  </rv>
  <rv s="3">
    <fb>1384.6</fb>
    <v>6</v>
  </rv>
  <rv s="3">
    <fb>1328.8</fb>
    <v>6</v>
  </rv>
  <rv s="3">
    <fb>23.57</fb>
    <v>7</v>
  </rv>
  <rv s="3">
    <fb>22.46</fb>
    <v>7</v>
  </rv>
  <rv s="3">
    <fb>24.89</fb>
    <v>7</v>
  </rv>
  <rv s="3">
    <fb>19.87</fb>
    <v>7</v>
  </rv>
  <rv s="3">
    <fb>18.14</fb>
    <v>7</v>
  </rv>
  <rv s="3">
    <fb>788.8</fb>
    <v>6</v>
  </rv>
  <rv s="3">
    <fb>742.7</fb>
    <v>6</v>
  </rv>
  <rv s="3">
    <fb>730.3</fb>
    <v>6</v>
  </rv>
  <rv s="3">
    <fb>743.3</fb>
    <v>6</v>
  </rv>
  <rv s="3">
    <fb>713.35</fb>
    <v>6</v>
  </rv>
  <rv s="3">
    <fb>2273.75</fb>
    <v>6</v>
  </rv>
  <rv s="3">
    <fb>2172.1</fb>
    <v>6</v>
  </rv>
  <rv s="3">
    <fb>2048.65</fb>
    <v>6</v>
  </rv>
  <rv s="3">
    <fb>2234.85</fb>
    <v>6</v>
  </rv>
  <rv s="3">
    <fb>2298.6999999999998</fb>
    <v>6</v>
  </rv>
  <rv s="3">
    <fb>159.80000000000001</fb>
    <v>6</v>
  </rv>
  <rv s="3">
    <fb>169.55</fb>
    <v>6</v>
  </rv>
  <rv s="3">
    <fb>183.05</fb>
    <v>6</v>
  </rv>
  <rv s="3">
    <fb>182.85</fb>
    <v>6</v>
  </rv>
  <rv s="3">
    <fb>180.7</fb>
    <v>6</v>
  </rv>
  <rv s="3">
    <fb>125.2</fb>
    <v>6</v>
  </rv>
  <rv s="3">
    <fb>115</fb>
    <v>6</v>
  </rv>
  <rv s="3">
    <fb>118.95</fb>
    <v>6</v>
  </rv>
  <rv s="3">
    <fb>126</fb>
    <v>6</v>
  </rv>
  <rv s="3">
    <fb>114.8</fb>
    <v>6</v>
  </rv>
  <rv s="3">
    <fb>1727.5</fb>
    <v>6</v>
  </rv>
  <rv s="3">
    <fb>1598.5</fb>
    <v>6</v>
  </rv>
  <rv s="3">
    <fb>1664</fb>
    <v>6</v>
  </rv>
  <rv s="3">
    <fb>1692.3</fb>
    <v>6</v>
  </rv>
  <rv s="3">
    <fb>1375.55</fb>
    <v>6</v>
  </rv>
  <rv s="3">
    <fb>1195</fb>
    <v>8</v>
  </rv>
  <rv s="3">
    <fb>1165</fb>
    <v>8</v>
  </rv>
  <rv s="3">
    <fb>1105</fb>
    <v>8</v>
  </rv>
  <rv s="3">
    <fb>1217.5</fb>
    <v>8</v>
  </rv>
  <rv s="3">
    <fb>1062.5</fb>
    <v>8</v>
  </rv>
  <rv s="3">
    <fb>2365</fb>
    <v>6</v>
  </rv>
  <rv s="3">
    <fb>2408</fb>
    <v>6</v>
  </rv>
  <rv s="3">
    <fb>2334.4499999999998</fb>
    <v>6</v>
  </rv>
  <rv s="3">
    <fb>2636</fb>
    <v>6</v>
  </rv>
  <rv s="3">
    <fb>2762</fb>
    <v>6</v>
  </rv>
  <rv s="3">
    <fb>10.18</fb>
    <v>7</v>
  </rv>
  <rv s="3">
    <fb>10.14</fb>
    <v>7</v>
  </rv>
  <rv s="3">
    <fb>8.7100000000000009</fb>
    <v>7</v>
  </rv>
  <rv s="3">
    <fb>8.19</fb>
    <v>7</v>
  </rv>
  <rv s="3">
    <fb>7.62</fb>
    <v>7</v>
  </rv>
  <rv s="3">
    <fb>1485</fb>
    <v>6</v>
  </rv>
  <rv s="3">
    <fb>1508.5</fb>
    <v>6</v>
  </rv>
  <rv s="3">
    <fb>1386.5</fb>
    <v>6</v>
  </rv>
  <rv s="3">
    <fb>1476.4</fb>
    <v>6</v>
  </rv>
  <rv s="3">
    <fb>1362.05</fb>
    <v>6</v>
  </rv>
  <rv s="3">
    <fb>25.39</fb>
    <v>7</v>
  </rv>
  <rv s="3">
    <fb>23.51</fb>
    <v>7</v>
  </rv>
  <rv s="3">
    <fb>22.39</fb>
    <v>7</v>
  </rv>
  <rv s="3">
    <fb>25.12</fb>
    <v>7</v>
  </rv>
  <rv s="3">
    <fb>19.88</fb>
    <v>7</v>
  </rv>
  <rv s="3">
    <fb>743.05</fb>
    <v>6</v>
  </rv>
  <rv s="3">
    <fb>802.05</fb>
    <v>6</v>
  </rv>
  <rv s="3">
    <fb>717</fb>
    <v>6</v>
  </rv>
  <rv s="3">
    <fb>725</fb>
    <v>6</v>
  </rv>
  <rv s="3">
    <fb>732</fb>
    <v>6</v>
  </rv>
  <rv s="3">
    <fb>2378</fb>
    <v>6</v>
  </rv>
  <rv s="3">
    <fb>2303.3000000000002</fb>
    <v>6</v>
  </rv>
  <rv s="3">
    <fb>2128.9499999999998</fb>
    <v>6</v>
  </rv>
  <rv s="3">
    <fb>2054.9</fb>
    <v>6</v>
  </rv>
  <rv s="3">
    <fb>2220</fb>
    <v>6</v>
  </rv>
  <rv s="3">
    <fb>147.25</fb>
    <v>6</v>
  </rv>
  <rv s="3">
    <fb>162</fb>
    <v>6</v>
  </rv>
  <rv s="3">
    <fb>171</fb>
    <v>6</v>
  </rv>
  <rv s="3">
    <fb>183.8</fb>
    <v>6</v>
  </rv>
  <rv s="3">
    <fb>182.7</fb>
    <v>6</v>
  </rv>
  <rv s="3">
    <fb>111.5</fb>
    <v>6</v>
  </rv>
  <rv s="3">
    <fb>113.75</fb>
    <v>6</v>
  </rv>
  <rv s="3">
    <fb>119.1</fb>
    <v>6</v>
  </rv>
  <rv s="3">
    <fb>125.95</fb>
    <v>6</v>
  </rv>
  <rv s="3">
    <fb>1629.75</fb>
    <v>6</v>
  </rv>
  <rv s="3">
    <fb>1736.6</fb>
    <v>6</v>
  </rv>
  <rv s="3">
    <fb>1572</fb>
    <v>6</v>
  </rv>
  <rv s="3">
    <fb>1661.2</fb>
    <v>6</v>
  </rv>
  <rv s="3">
    <fb>1676</fb>
    <v>6</v>
  </rv>
  <rv s="3">
    <fb>1300</fb>
    <v>8</v>
  </rv>
  <rv s="3">
    <fb>1190</fb>
    <v>8</v>
  </rv>
  <rv s="3">
    <fb>1170</fb>
    <v>8</v>
  </rv>
  <rv s="3">
    <fb>1145</fb>
    <v>8</v>
  </rv>
  <rv s="3">
    <fb>1185</fb>
    <v>8</v>
  </rv>
  <rv s="3">
    <fb>2567.3000000000002</fb>
    <v>6</v>
  </rv>
  <rv s="3">
    <fb>2456.4</fb>
    <v>6</v>
  </rv>
  <rv s="3">
    <fb>2688</fb>
    <v>6</v>
  </rv>
  <rv s="3">
    <fb>2856.15</fb>
    <v>6</v>
  </rv>
  <rv s="3">
    <fb>2805.5</fb>
    <v>6</v>
  </rv>
  <rv s="3">
    <fb>11.58</fb>
    <v>7</v>
  </rv>
  <rv s="3">
    <fb>10.64</fb>
    <v>7</v>
  </rv>
  <rv s="3">
    <fb>8.93</fb>
    <v>7</v>
  </rv>
  <rv s="3">
    <fb>8.57</fb>
    <v>7</v>
  </rv>
  <rv s="3">
    <fb>8.26</fb>
    <v>7</v>
  </rv>
  <rv s="3">
    <fb>1576.65</fb>
    <v>6</v>
  </rv>
  <rv s="3">
    <fb>1539.95</fb>
    <v>6</v>
  </rv>
  <rv s="3">
    <fb>1518.8</fb>
    <v>6</v>
  </rv>
  <rv s="3">
    <fb>1722.1</fb>
    <v>6</v>
  </rv>
  <rv s="3">
    <fb>1406.45</fb>
    <v>6</v>
  </rv>
  <rv s="3">
    <fb>26.39</fb>
    <v>7</v>
  </rv>
  <rv s="3">
    <fb>23.844999999999999</fb>
    <v>7</v>
  </rv>
  <rv s="3">
    <fb>25.204999999999998</fb>
    <v>7</v>
  </rv>
  <rv s="3">
    <fb>25.13</fb>
    <v>7</v>
  </rv>
  <rv s="3">
    <fb>20.79</fb>
    <v>7</v>
  </rv>
  <rv s="3">
    <fb>836</fb>
    <v>6</v>
  </rv>
  <rv s="3">
    <fb>818.7</fb>
    <v>6</v>
  </rv>
  <rv s="3">
    <fb>739.9</fb>
    <v>6</v>
  </rv>
  <rv s="3">
    <fb>777.9</fb>
    <v>6</v>
  </rv>
  <rv s="3">
    <fb>747</fb>
    <v>6</v>
  </rv>
  <rv s="3">
    <fb>2425</fb>
    <v>6</v>
  </rv>
  <rv s="3">
    <fb>2333</fb>
    <v>6</v>
  </rv>
  <rv s="3">
    <fb>2167.9499999999998</fb>
    <v>6</v>
  </rv>
  <rv s="3">
    <fb>2290</fb>
    <v>6</v>
  </rv>
  <rv s="3">
    <fb>2388</fb>
    <v>6</v>
  </rv>
  <rv s="3">
    <fb>168.25</fb>
    <v>6</v>
  </rv>
  <rv s="3">
    <fb>170.3</fb>
    <v>6</v>
  </rv>
  <rv s="3">
    <fb>197.75</fb>
    <v>6</v>
  </rv>
  <rv s="3">
    <fb>209</fb>
    <v>6</v>
  </rv>
  <rv s="3">
    <fb>191.95</fb>
    <v>6</v>
  </rv>
  <rv s="3">
    <fb>128</fb>
    <v>6</v>
  </rv>
  <rv s="3">
    <fb>124.85</fb>
    <v>6</v>
  </rv>
  <rv s="3">
    <fb>136.05000000000001</fb>
    <v>6</v>
  </rv>
  <rv s="3">
    <fb>128.69999999999999</fb>
    <v>6</v>
  </rv>
  <rv s="3">
    <fb>1929.8</fb>
    <v>6</v>
  </rv>
  <rv s="3">
    <fb>1790</fb>
    <v>6</v>
  </rv>
  <rv s="3">
    <fb>1678.6</fb>
    <v>6</v>
  </rv>
  <rv s="3">
    <fb>1830.9</fb>
    <v>6</v>
  </rv>
  <rv s="3">
    <fb>1703.5</fb>
    <v>6</v>
  </rv>
  <rv s="3">
    <fb>1425</fb>
    <v>8</v>
  </rv>
  <rv s="3">
    <fb>1240</fb>
    <v>8</v>
  </rv>
  <rv s="3">
    <fb>1280</fb>
    <v>8</v>
  </rv>
  <rv s="3">
    <fb>1220</fb>
    <v>8</v>
  </rv>
  <rv s="3">
    <fb>2305</fb>
    <v>6</v>
  </rv>
  <rv s="3">
    <fb>2243</fb>
    <v>6</v>
  </rv>
  <rv s="3">
    <fb>2180</fb>
    <v>6</v>
  </rv>
  <rv s="3">
    <fb>2521.8000000000002</fb>
    <v>6</v>
  </rv>
  <rv s="3">
    <fb>2370</fb>
    <v>6</v>
  </rv>
  <rv s="3">
    <fb>9.34</fb>
    <v>7</v>
  </rv>
  <rv s="3">
    <fb>7.8</fb>
    <v>7</v>
  </rv>
  <rv s="3">
    <fb>7.73</fb>
    <v>7</v>
  </rv>
  <rv s="3">
    <fb>7.37</fb>
    <v>7</v>
  </rv>
  <rv s="3">
    <fb>6.7</fb>
    <v>7</v>
  </rv>
  <rv s="3">
    <fb>1435</fb>
    <v>6</v>
  </rv>
  <rv s="3">
    <fb>1407.15</fb>
    <v>6</v>
  </rv>
  <rv s="3">
    <fb>1292</fb>
    <v>6</v>
  </rv>
  <rv s="3">
    <fb>1322.25</fb>
    <v>6</v>
  </rv>
  <rv s="3">
    <fb>1278.3</fb>
    <v>6</v>
  </rv>
  <rv s="3">
    <fb>21.72</fb>
    <v>7</v>
  </rv>
  <rv s="3">
    <fb>21.04</fb>
    <v>7</v>
  </rv>
  <rv s="3">
    <fb>22.035</fb>
    <v>7</v>
  </rv>
  <rv s="3">
    <fb>19.75</fb>
    <v>7</v>
  </rv>
  <rv s="3">
    <fb>17.899999999999999</fb>
    <v>7</v>
  </rv>
  <rv s="3">
    <fb>743</fb>
    <v>6</v>
  </rv>
  <rv s="3">
    <fb>702.3</fb>
    <v>6</v>
  </rv>
  <rv s="3">
    <fb>642.15</fb>
    <v>6</v>
  </rv>
  <rv s="3">
    <fb>723.1</fb>
    <v>6</v>
  </rv>
  <rv s="3">
    <fb>675</fb>
    <v>6</v>
  </rv>
  <rv s="3">
    <fb>2240.9</fb>
    <v>6</v>
  </rv>
  <rv s="3">
    <fb>2120</fb>
    <v>6</v>
  </rv>
  <rv s="3">
    <fb>1901.55</fb>
    <v>6</v>
  </rv>
  <rv s="3">
    <fb>2038.4</fb>
    <v>6</v>
  </rv>
  <rv s="3">
    <fb>2106.1999999999998</fb>
    <v>6</v>
  </rv>
  <rv s="3">
    <fb>147</fb>
    <v>6</v>
  </rv>
  <rv s="3">
    <fb>149</fb>
    <v>6</v>
  </rv>
  <rv s="3">
    <fb>181.9</fb>
    <v>6</v>
  </rv>
  <rv s="3">
    <fb>164.65</fb>
    <v>6</v>
  </rv>
  <rv s="3">
    <fb>111.35</fb>
    <v>6</v>
  </rv>
  <rv s="3">
    <fb>109.3</fb>
    <v>6</v>
  </rv>
  <rv s="3">
    <fb>111.2</fb>
    <v>6</v>
  </rv>
  <rv s="3">
    <fb>119</fb>
    <v>6</v>
  </rv>
  <rv s="3">
    <fb>114.2</fb>
    <v>6</v>
  </rv>
  <rv s="3">
    <fb>1617</fb>
    <v>6</v>
  </rv>
  <rv s="3">
    <fb>1535</fb>
    <v>6</v>
  </rv>
  <rv s="3">
    <fb>1407.2</fb>
    <v>6</v>
  </rv>
  <rv s="3">
    <fb>1658</fb>
    <v>6</v>
  </rv>
  <rv s="3">
    <fb>1356.8</fb>
    <v>6</v>
  </rv>
  <rv s="3">
    <fb>1160.2</fb>
    <v>8</v>
  </rv>
  <rv s="3">
    <fb>1100</fb>
    <v>8</v>
  </rv>
  <rv s="3">
    <fb>1040</fb>
    <v>8</v>
  </rv>
  <rv s="3">
    <fb>1084.71</fb>
    <v>8</v>
  </rv>
  <rv s="3">
    <fb>994</fb>
    <v>8</v>
  </rv>
  <rv s="3">
    <fb>126710759</fb>
    <v>9</v>
  </rv>
  <rv s="3">
    <fb>115883508</fb>
    <v>9</v>
  </rv>
  <rv s="3">
    <fb>145025237</fb>
    <v>9</v>
  </rv>
  <rv s="3">
    <fb>136208977</fb>
    <v>9</v>
  </rv>
  <rv s="3">
    <fb>131466337</fb>
    <v>9</v>
  </rv>
  <rv s="3">
    <fb>13022411</fb>
    <v>9</v>
  </rv>
  <rv s="3">
    <fb>21739266</fb>
    <v>9</v>
  </rv>
  <rv s="3">
    <fb>12585457</fb>
    <v>9</v>
  </rv>
  <rv s="3">
    <fb>6790791</fb>
    <v>9</v>
  </rv>
  <rv s="3">
    <fb>12279140</fb>
    <v>9</v>
  </rv>
  <rv s="3">
    <fb>156401807</fb>
    <v>9</v>
  </rv>
  <rv s="3">
    <fb>129636002</fb>
    <v>9</v>
  </rv>
  <rv s="3">
    <fb>214562417</fb>
    <v>9</v>
  </rv>
  <rv s="3">
    <fb>338232212</fb>
    <v>9</v>
  </rv>
  <rv s="3">
    <fb>162076689</fb>
    <v>9</v>
  </rv>
  <rv s="3">
    <fb>238121083</fb>
    <v>9</v>
  </rv>
  <rv s="3">
    <fb>215212584</fb>
    <v>9</v>
  </rv>
  <rv s="3">
    <fb>227337315</fb>
    <v>9</v>
  </rv>
  <rv s="3">
    <fb>255888517</fb>
    <v>9</v>
  </rv>
  <rv s="3">
    <fb>196083512</fb>
    <v>9</v>
  </rv>
  <rv s="3">
    <fb>279251169</fb>
    <v>9</v>
  </rv>
  <rv s="3">
    <fb>288255231</fb>
    <v>9</v>
  </rv>
  <rv s="3">
    <fb>423463671</fb>
    <v>9</v>
  </rv>
  <rv s="3">
    <fb>331468931</fb>
    <v>9</v>
  </rv>
  <rv s="3">
    <fb>220122812</fb>
    <v>9</v>
  </rv>
  <rv s="3">
    <fb>35155340</fb>
    <v>9</v>
  </rv>
  <rv s="3">
    <fb>28162744</fb>
    <v>9</v>
  </rv>
  <rv s="3">
    <fb>59675399</fb>
    <v>9</v>
  </rv>
  <rv s="3">
    <fb>39286419</fb>
    <v>9</v>
  </rv>
  <rv s="3">
    <fb>32039725</fb>
    <v>9</v>
  </rv>
  <rv s="3">
    <fb>236859726</fb>
    <v>9</v>
  </rv>
  <rv s="3">
    <fb>258456678</fb>
    <v>9</v>
  </rv>
  <rv s="3">
    <fb>483313899</fb>
    <v>9</v>
  </rv>
  <rv s="3">
    <fb>436474466</fb>
    <v>9</v>
  </rv>
  <rv s="3">
    <fb>230600753</fb>
    <v>9</v>
  </rv>
  <rv s="3">
    <fb>185962312</fb>
    <v>9</v>
  </rv>
  <rv s="3">
    <fb>230320901</fb>
    <v>9</v>
  </rv>
  <rv s="3">
    <fb>413481532</fb>
    <v>9</v>
  </rv>
  <rv s="3">
    <fb>237869817</fb>
    <v>9</v>
  </rv>
  <rv s="3">
    <fb>225613894</fb>
    <v>9</v>
  </rv>
  <rv s="3">
    <fb>21532338</fb>
    <v>9</v>
  </rv>
  <rv s="3">
    <fb>17508860</fb>
    <v>9</v>
  </rv>
  <rv s="3">
    <fb>25806241</fb>
    <v>9</v>
  </rv>
  <rv s="3">
    <fb>19309544</fb>
    <v>9</v>
  </rv>
  <rv s="3">
    <fb>15629609</fb>
    <v>9</v>
  </rv>
  <rv s="3">
    <fb>5752</fb>
    <v>9</v>
  </rv>
  <rv s="3">
    <fb>3712</fb>
    <v>9</v>
  </rv>
  <rv s="3">
    <fb>4613</fb>
    <v>9</v>
  </rv>
  <rv s="3">
    <fb>2782</fb>
    <v>9</v>
  </rv>
  <rv s="3">
    <fb>3402</fb>
    <v>9</v>
  </rv>
  <rv s="4">
    <v>10</v>
    <v>LTI</v>
    <v>Monthly</v>
    <v>44562</v>
    <v>44712</v>
    <v>0</v>
    <v>1</v>
    <v>637890336000000000,637891435181983337,0</v>
    <v>0</v>
    <v>aobc5r</v>
    <v>XLON:LTI</v>
    <v>1</v>
  </rv>
  <rv s="5">
    <v>11</v>
    <v>LTI</v>
    <v>Monthly</v>
    <v>44562</v>
    <v>44712</v>
    <v>0</v>
    <v>1</v>
    <v>637890336000000000,637891436428517469,0</v>
    <v>0</v>
    <v>aobc5r</v>
    <v>XLON:LTI</v>
    <v>2</v>
  </rv>
  <rv s="6">
    <v>12</v>
    <v>LTI</v>
    <v>Monthly</v>
    <v>44562</v>
    <v>44712</v>
    <v>0</v>
    <v>1</v>
    <v>637890336000000000,637891438867205308,0</v>
    <v>0</v>
    <v>aobc5r</v>
    <v>XLON:LTI</v>
    <v>3</v>
  </rv>
  <rv s="7">
    <v>13</v>
    <v>LTI</v>
    <v>Monthly</v>
    <v>44562</v>
    <v>44712</v>
    <v>0</v>
    <v>1</v>
    <v>637890336000000000,637891442983865555,0</v>
    <v>0</v>
    <v>aobc5r</v>
    <v>XLON:LTI</v>
    <v>4</v>
  </rv>
  <rv s="8">
    <v>14</v>
    <v>LTI</v>
    <v>Monthly</v>
    <v>44562</v>
    <v>44712</v>
    <v>0</v>
    <v>1</v>
    <v>637890336000000000,637891444923380348,0</v>
    <v>0</v>
    <v>aobc5r</v>
    <v>XLON:LTI</v>
    <v>5</v>
  </rv>
  <rv s="4">
    <v>15</v>
    <v>ICICIBANK</v>
    <v>Monthly</v>
    <v>44562</v>
    <v>44712</v>
    <v>0</v>
    <v>1</v>
    <v>637890336000000000,637891435182003305,0</v>
    <v>0</v>
    <v>ahi877</v>
    <v>XNSE:ICICIBANK</v>
    <v>6</v>
  </rv>
  <rv s="5">
    <v>16</v>
    <v>ICICIBANK</v>
    <v>Monthly</v>
    <v>44562</v>
    <v>44712</v>
    <v>0</v>
    <v>1</v>
    <v>637890336000000000,637891436428537677,0</v>
    <v>0</v>
    <v>ahi877</v>
    <v>XNSE:ICICIBANK</v>
    <v>7</v>
  </rv>
  <rv s="6">
    <v>17</v>
    <v>ICICIBANK</v>
    <v>Monthly</v>
    <v>44562</v>
    <v>44712</v>
    <v>0</v>
    <v>1</v>
    <v>637890336000000000,637891438867215303,0</v>
    <v>0</v>
    <v>ahi877</v>
    <v>XNSE:ICICIBANK</v>
    <v>8</v>
  </rv>
  <rv s="7">
    <v>18</v>
    <v>ICICIBANK</v>
    <v>Monthly</v>
    <v>44562</v>
    <v>44712</v>
    <v>0</v>
    <v>1</v>
    <v>637890336000000000,637891442983885380,0</v>
    <v>0</v>
    <v>ahi877</v>
    <v>XNSE:ICICIBANK</v>
    <v>9</v>
  </rv>
  <rv s="8">
    <v>14</v>
    <v>ICICIBANK</v>
    <v>Monthly</v>
    <v>44562</v>
    <v>44712</v>
    <v>0</v>
    <v>1</v>
    <v>637890336000000000,637891444923350366,0</v>
    <v>0</v>
    <v>ahi877</v>
    <v>XNSE:ICICIBANK</v>
    <v>10</v>
  </rv>
  <rv s="4">
    <v>15</v>
    <v>RELIANCE</v>
    <v>Monthly</v>
    <v>44562</v>
    <v>44712</v>
    <v>0</v>
    <v>1</v>
    <v>637890336000000000,637891423855097692,0</v>
    <v>0</v>
    <v>ahjo52</v>
    <v>XNSE:RELIANCE</v>
    <v>11</v>
  </rv>
  <rv s="5">
    <v>16</v>
    <v>RELIANCE</v>
    <v>Monthly</v>
    <v>44562</v>
    <v>44712</v>
    <v>0</v>
    <v>1</v>
    <v>637890336000000000,637891434381689455,0</v>
    <v>0</v>
    <v>ahjo52</v>
    <v>XNSE:RELIANCE</v>
    <v>12</v>
  </rv>
  <rv s="6">
    <v>17</v>
    <v>RELIANCE</v>
    <v>Monthly</v>
    <v>44562</v>
    <v>44712</v>
    <v>0</v>
    <v>1</v>
    <v>637890336000000000,637891437392059780,0</v>
    <v>0</v>
    <v>ahjo52</v>
    <v>XNSE:RELIANCE</v>
    <v>13</v>
  </rv>
  <rv s="7">
    <v>18</v>
    <v>RELIANCE</v>
    <v>Monthly</v>
    <v>44562</v>
    <v>44712</v>
    <v>0</v>
    <v>1</v>
    <v>637890336000000000,637891442212100209,0</v>
    <v>0</v>
    <v>ahjo52</v>
    <v>XNSE:RELIANCE</v>
    <v>14</v>
  </rv>
  <rv s="8">
    <v>14</v>
    <v>RELIANCE</v>
    <v>Monthly</v>
    <v>44562</v>
    <v>44712</v>
    <v>0</v>
    <v>1</v>
    <v>637890336000000000,637891443967392087,0</v>
    <v>0</v>
    <v>ahjo52</v>
    <v>XNSE:RELIANCE</v>
    <v>15</v>
  </rv>
  <rv s="4">
    <v>19</v>
    <v>TCS</v>
    <v>Monthly</v>
    <v>44562</v>
    <v>44712</v>
    <v>0</v>
    <v>1</v>
    <v>637890336000000000,637891435182053266,0</v>
    <v>0</v>
    <v>a2426h</v>
    <v>XNYS:TCS</v>
    <v>16</v>
  </rv>
  <rv s="5">
    <v>20</v>
    <v>TCS</v>
    <v>Monthly</v>
    <v>44562</v>
    <v>44712</v>
    <v>0</v>
    <v>1</v>
    <v>637890336000000000,637891436428427531,0</v>
    <v>0</v>
    <v>a2426h</v>
    <v>XNYS:TCS</v>
    <v>17</v>
  </rv>
  <rv s="6">
    <v>21</v>
    <v>TCS</v>
    <v>Monthly</v>
    <v>44562</v>
    <v>44712</v>
    <v>0</v>
    <v>1</v>
    <v>637890336000000000,637891438867135536,0</v>
    <v>0</v>
    <v>a2426h</v>
    <v>XNYS:TCS</v>
    <v>18</v>
  </rv>
  <rv s="7">
    <v>22</v>
    <v>TCS</v>
    <v>Monthly</v>
    <v>44562</v>
    <v>44712</v>
    <v>0</v>
    <v>1</v>
    <v>637890336000000000,637891442983795723,0</v>
    <v>0</v>
    <v>a2426h</v>
    <v>XNYS:TCS</v>
    <v>19</v>
  </rv>
  <rv s="8">
    <v>14</v>
    <v>TCS</v>
    <v>Monthly</v>
    <v>44562</v>
    <v>44712</v>
    <v>0</v>
    <v>1</v>
    <v>637890336000000000,637891444923270411,0</v>
    <v>0</v>
    <v>a2426h</v>
    <v>XNYS:TCS</v>
    <v>20</v>
  </rv>
  <rv s="4">
    <v>15</v>
    <v>COALINDIA</v>
    <v>Monthly</v>
    <v>44562</v>
    <v>44712</v>
    <v>0</v>
    <v>1</v>
    <v>637890336000000000,637891435181989146,0</v>
    <v>0</v>
    <v>ahherw</v>
    <v>XNSE:COALINDIA</v>
    <v>21</v>
  </rv>
  <rv s="5">
    <v>16</v>
    <v>COALINDIA</v>
    <v>Monthly</v>
    <v>44562</v>
    <v>44712</v>
    <v>0</v>
    <v>1</v>
    <v>637890336000000000,637891436428416372,0</v>
    <v>0</v>
    <v>ahherw</v>
    <v>XNSE:COALINDIA</v>
    <v>22</v>
  </rv>
  <rv s="6">
    <v>17</v>
    <v>COALINDIA</v>
    <v>Monthly</v>
    <v>44562</v>
    <v>44712</v>
    <v>0</v>
    <v>1</v>
    <v>637890336000000000,637891438867121155,0</v>
    <v>0</v>
    <v>ahherw</v>
    <v>XNSE:COALINDIA</v>
    <v>23</v>
  </rv>
  <rv s="7">
    <v>18</v>
    <v>COALINDIA</v>
    <v>Monthly</v>
    <v>44562</v>
    <v>44712</v>
    <v>0</v>
    <v>1</v>
    <v>637890336000000000,637891442983779054,0</v>
    <v>0</v>
    <v>ahherw</v>
    <v>XNSE:COALINDIA</v>
    <v>24</v>
  </rv>
  <rv s="8">
    <v>14</v>
    <v>COALINDIA</v>
    <v>Monthly</v>
    <v>44562</v>
    <v>44712</v>
    <v>0</v>
    <v>1</v>
    <v>637890336000000000,637891444923255721,0</v>
    <v>0</v>
    <v>ahherw</v>
    <v>XNSE:COALINDIA</v>
    <v>25</v>
  </rv>
  <rv s="4">
    <v>19</v>
    <v>INFY</v>
    <v>Monthly</v>
    <v>44562</v>
    <v>44712</v>
    <v>0</v>
    <v>1</v>
    <v>637890336000000000,637891435182023086,0</v>
    <v>0</v>
    <v>a1vkgh</v>
    <v>XNYS:INFY</v>
    <v>26</v>
  </rv>
  <rv s="5">
    <v>20</v>
    <v>INFY</v>
    <v>Monthly</v>
    <v>44562</v>
    <v>44712</v>
    <v>0</v>
    <v>1</v>
    <v>637890336000000000,637891436428487505,0</v>
    <v>0</v>
    <v>a1vkgh</v>
    <v>XNYS:INFY</v>
    <v>27</v>
  </rv>
  <rv s="6">
    <v>21</v>
    <v>INFY</v>
    <v>Monthly</v>
    <v>44562</v>
    <v>44712</v>
    <v>0</v>
    <v>1</v>
    <v>637890336000000000,637891438867175512,0</v>
    <v>0</v>
    <v>a1vkgh</v>
    <v>XNYS:INFY</v>
    <v>28</v>
  </rv>
  <rv s="7">
    <v>22</v>
    <v>INFY</v>
    <v>Monthly</v>
    <v>44562</v>
    <v>44712</v>
    <v>0</v>
    <v>1</v>
    <v>637890336000000000,637891442983835408,0</v>
    <v>0</v>
    <v>a1vkgh</v>
    <v>XNYS:INFY</v>
    <v>29</v>
  </rv>
  <rv s="8">
    <v>14</v>
    <v>INFY</v>
    <v>Monthly</v>
    <v>44562</v>
    <v>44712</v>
    <v>0</v>
    <v>1</v>
    <v>637890336000000000,637891444923330662,0</v>
    <v>0</v>
    <v>a1vkgh</v>
    <v>XNYS:INFY</v>
    <v>30</v>
  </rv>
  <rv s="4">
    <v>15</v>
    <v>GRASIM</v>
    <v>Monthly</v>
    <v>44562</v>
    <v>44712</v>
    <v>0</v>
    <v>1</v>
    <v>637890336000000000,637891435181988020,0</v>
    <v>0</v>
    <v>ahhyrw</v>
    <v>XNSE:GRASIM</v>
    <v>31</v>
  </rv>
  <rv s="5">
    <v>16</v>
    <v>GRASIM</v>
    <v>Monthly</v>
    <v>44562</v>
    <v>44712</v>
    <v>0</v>
    <v>1</v>
    <v>637890336000000000,637891436428414038,0</v>
    <v>0</v>
    <v>ahhyrw</v>
    <v>XNSE:GRASIM</v>
    <v>32</v>
  </rv>
  <rv s="6">
    <v>17</v>
    <v>GRASIM</v>
    <v>Monthly</v>
    <v>44562</v>
    <v>44712</v>
    <v>0</v>
    <v>1</v>
    <v>637890336000000000,637891438867107339,0</v>
    <v>0</v>
    <v>ahhyrw</v>
    <v>XNSE:GRASIM</v>
    <v>33</v>
  </rv>
  <rv s="7">
    <v>18</v>
    <v>GRASIM</v>
    <v>Monthly</v>
    <v>44562</v>
    <v>44712</v>
    <v>0</v>
    <v>1</v>
    <v>637890336000000000,637891442983775979,0</v>
    <v>0</v>
    <v>ahhyrw</v>
    <v>XNSE:GRASIM</v>
    <v>34</v>
  </rv>
  <rv s="8">
    <v>14</v>
    <v>GRASIM</v>
    <v>Monthly</v>
    <v>44562</v>
    <v>44712</v>
    <v>0</v>
    <v>1</v>
    <v>637890336000000000,637891444923261034,0</v>
    <v>0</v>
    <v>ahhyrw</v>
    <v>XNSE:GRASIM</v>
    <v>35</v>
  </rv>
  <rv s="4">
    <v>15</v>
    <v>IOC</v>
    <v>Monthly</v>
    <v>44562</v>
    <v>44712</v>
    <v>0</v>
    <v>1</v>
    <v>637890336000000000,637891435181990048,0</v>
    <v>0</v>
    <v>ahidf2</v>
    <v>XNSE:IOC</v>
    <v>36</v>
  </rv>
  <rv s="5">
    <v>16</v>
    <v>IOC</v>
    <v>Monthly</v>
    <v>44562</v>
    <v>44712</v>
    <v>0</v>
    <v>1</v>
    <v>637890336000000000,637891436428425054,0</v>
    <v>0</v>
    <v>ahidf2</v>
    <v>XNSE:IOC</v>
    <v>37</v>
  </rv>
  <rv s="6">
    <v>17</v>
    <v>IOC</v>
    <v>Monthly</v>
    <v>44562</v>
    <v>44712</v>
    <v>0</v>
    <v>1</v>
    <v>637890336000000000,637891438867111141,0</v>
    <v>0</v>
    <v>ahidf2</v>
    <v>XNSE:IOC</v>
    <v>38</v>
  </rv>
  <rv s="7">
    <v>18</v>
    <v>IOC</v>
    <v>Monthly</v>
    <v>44562</v>
    <v>44712</v>
    <v>0</v>
    <v>1</v>
    <v>637890336000000000,637891442983770927,0</v>
    <v>0</v>
    <v>ahidf2</v>
    <v>XNSE:IOC</v>
    <v>39</v>
  </rv>
  <rv s="8">
    <v>14</v>
    <v>IOC</v>
    <v>Monthly</v>
    <v>44562</v>
    <v>44712</v>
    <v>0</v>
    <v>1</v>
    <v>637890336000000000,637891444923255789,0</v>
    <v>0</v>
    <v>ahidf2</v>
    <v>XNSE:IOC</v>
    <v>40</v>
  </rv>
  <rv s="4">
    <v>15</v>
    <v>HINDUNILVR</v>
    <v>Monthly</v>
    <v>44562</v>
    <v>44712</v>
    <v>0</v>
    <v>1</v>
    <v>637890336000000000,637891435181992851,0</v>
    <v>0</v>
    <v>ahi62w</v>
    <v>XNSE:HINDUNILVR</v>
    <v>41</v>
  </rv>
  <rv s="5">
    <v>16</v>
    <v>HINDUNILVR</v>
    <v>Monthly</v>
    <v>44562</v>
    <v>44712</v>
    <v>0</v>
    <v>1</v>
    <v>637890336000000000,637891436428413503,0</v>
    <v>0</v>
    <v>ahi62w</v>
    <v>XNSE:HINDUNILVR</v>
    <v>42</v>
  </rv>
  <rv s="6">
    <v>17</v>
    <v>HINDUNILVR</v>
    <v>Monthly</v>
    <v>44562</v>
    <v>44712</v>
    <v>0</v>
    <v>1</v>
    <v>637890336000000000,637891438867132551,0</v>
    <v>0</v>
    <v>ahi62w</v>
    <v>XNSE:HINDUNILVR</v>
    <v>43</v>
  </rv>
  <rv s="7">
    <v>18</v>
    <v>HINDUNILVR</v>
    <v>Monthly</v>
    <v>44562</v>
    <v>44712</v>
    <v>0</v>
    <v>1</v>
    <v>637890336000000000,637891442983775749,0</v>
    <v>0</v>
    <v>ahi62w</v>
    <v>XNSE:HINDUNILVR</v>
    <v>44</v>
  </rv>
  <rv s="8">
    <v>14</v>
    <v>HINDUNILVR</v>
    <v>Monthly</v>
    <v>44562</v>
    <v>44712</v>
    <v>0</v>
    <v>1</v>
    <v>637890336000000000,637891444923252565,0</v>
    <v>0</v>
    <v>ahi62w</v>
    <v>XNSE:HINDUNILVR</v>
    <v>45</v>
  </rv>
  <rv s="4">
    <v>15</v>
    <v>HDFCBANK</v>
    <v>Monthly</v>
    <v>44562</v>
    <v>44712</v>
    <v>0</v>
    <v>1</v>
    <v>637890336000000000,637891435182033077,0</v>
    <v>0</v>
    <v>ahi3jc</v>
    <v>XNSE:HDFCBANK</v>
    <v>46</v>
  </rv>
  <rv s="5">
    <v>16</v>
    <v>HDFCBANK</v>
    <v>Monthly</v>
    <v>44562</v>
    <v>44712</v>
    <v>0</v>
    <v>1</v>
    <v>637890336000000000,637891436428457519,0</v>
    <v>0</v>
    <v>ahi3jc</v>
    <v>XNSE:HDFCBANK</v>
    <v>47</v>
  </rv>
  <rv s="6">
    <v>17</v>
    <v>HDFCBANK</v>
    <v>Monthly</v>
    <v>44562</v>
    <v>44712</v>
    <v>0</v>
    <v>1</v>
    <v>637890336000000000,637891438867145349,0</v>
    <v>0</v>
    <v>ahi3jc</v>
    <v>XNSE:HDFCBANK</v>
    <v>48</v>
  </rv>
  <rv s="7">
    <v>18</v>
    <v>HDFCBANK</v>
    <v>Monthly</v>
    <v>44562</v>
    <v>44712</v>
    <v>0</v>
    <v>1</v>
    <v>637890336000000000,637891442983815422,0</v>
    <v>0</v>
    <v>ahi3jc</v>
    <v>XNSE:HDFCBANK</v>
    <v>49</v>
  </rv>
  <rv s="8">
    <v>14</v>
    <v>HDFCBANK</v>
    <v>Monthly</v>
    <v>44562</v>
    <v>44712</v>
    <v>0</v>
    <v>1</v>
    <v>637890336000000000,637891444923300394,0</v>
    <v>0</v>
    <v>ahi3jc</v>
    <v>XNSE:HDFCBANK</v>
    <v>50</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Open" t="a"/>
  </s>
  <s t="_stockhistorycache">
    <k n="_Format" t="spb"/>
    <k n="Symbol" t="s"/>
    <k n="Interval" t="s"/>
    <k n="StartDate" t="i"/>
    <k n="EndDate" t="i"/>
    <k n="f1904" t="b"/>
    <k n="fdcompat" t="b"/>
    <k n="etag" t="s"/>
    <k n="Date" t="a"/>
    <k n="EntityId" t="s"/>
    <k n="Instrument" t="s"/>
    <k n="High" t="a"/>
  </s>
  <s t="_stockhistorycache">
    <k n="_Format" t="spb"/>
    <k n="Symbol" t="s"/>
    <k n="Interval" t="s"/>
    <k n="StartDate" t="i"/>
    <k n="EndDate" t="i"/>
    <k n="f1904" t="b"/>
    <k n="fdcompat" t="b"/>
    <k n="etag" t="s"/>
    <k n="Date" t="a"/>
    <k n="EntityId" t="s"/>
    <k n="Instrument" t="s"/>
    <k n="Low" t="a"/>
  </s>
  <s t="_stockhistorycache">
    <k n="_Format" t="spb"/>
    <k n="Symbol" t="s"/>
    <k n="Interval" t="s"/>
    <k n="StartDate" t="i"/>
    <k n="EndDate" t="i"/>
    <k n="f1904" t="b"/>
    <k n="fdcompat" t="b"/>
    <k n="etag" t="s"/>
    <k n="Date" t="a"/>
    <k n="EntityId" t="s"/>
    <k n="Instrument" t="s"/>
    <k n="Volum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3">
    <spb s="0">
      <v>0</v>
      <v>Name</v>
      <v>LearnMoreOnLink</v>
    </spb>
    <spb s="1">
      <v>0</v>
      <v>0</v>
      <v>0</v>
    </spb>
    <spb s="2">
      <v>1</v>
      <v>1</v>
      <v>1</v>
      <v>1</v>
    </spb>
    <spb s="3">
      <v>1</v>
      <v>2</v>
      <v>2</v>
      <v>1</v>
      <v>3</v>
      <v>1</v>
      <v>1</v>
      <v>1</v>
      <v>4</v>
      <v>4</v>
      <v>5</v>
      <v>6</v>
      <v>1</v>
      <v>1</v>
      <v>1</v>
      <v>4</v>
      <v>7</v>
      <v>8</v>
      <v>9</v>
      <v>4</v>
    </spb>
    <spb s="4">
      <v>Delayed 5 minutes</v>
      <v>from previous close</v>
      <v>from previous close</v>
      <v>GMT</v>
    </spb>
    <spb s="5">
      <v>10</v>
    </spb>
    <spb s="5">
      <v>1</v>
    </spb>
    <spb s="5">
      <v>11</v>
    </spb>
    <spb s="5">
      <v>12</v>
    </spb>
    <spb s="5">
      <v>4</v>
    </spb>
    <spb s="6">
      <v>10</v>
      <v>12</v>
    </spb>
    <spb s="7">
      <v>10</v>
      <v>12</v>
    </spb>
    <spb s="8">
      <v>10</v>
      <v>12</v>
    </spb>
    <spb s="9">
      <v>12</v>
      <v>10</v>
    </spb>
    <spb s="10">
      <v>10</v>
      <v>4</v>
    </spb>
    <spb s="6">
      <v>10</v>
      <v>1</v>
    </spb>
    <spb s="7">
      <v>10</v>
      <v>1</v>
    </spb>
    <spb s="8">
      <v>10</v>
      <v>1</v>
    </spb>
    <spb s="9">
      <v>1</v>
      <v>10</v>
    </spb>
    <spb s="6">
      <v>10</v>
      <v>11</v>
    </spb>
    <spb s="7">
      <v>10</v>
      <v>11</v>
    </spb>
    <spb s="8">
      <v>10</v>
      <v>11</v>
    </spb>
    <spb s="9">
      <v>11</v>
      <v>10</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_Self" t="i"/>
  </s>
  <s>
    <k n="Date" t="i"/>
    <k n="Close" t="i"/>
  </s>
  <s>
    <k n="Date" t="i"/>
    <k n="Open" t="i"/>
  </s>
  <s>
    <k n="Date" t="i"/>
    <k n="High" t="i"/>
  </s>
  <s>
    <k n="Low" t="i"/>
    <k n="Date" t="i"/>
  </s>
  <s>
    <k n="Dat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x:dxf>
      <x:numFmt numFmtId="19" formatCode="m/d/yyyy"/>
    </x:dxf>
  </dxfs>
  <richProperties>
    <rPr n="NumberFormat" t="s"/>
    <rPr n="IsTitleField" t="b"/>
  </richProperties>
  <richStyles>
    <rSty dxfid="0">
      <rpv i="0" xml:space="preserve">_ [$₹-as-IN] * #,##0.00_ ;_ [$₹-as-IN] * -#,##0.00_ ;_ [$₹-as-IN] * "-"??_ ;_ @_ </rpv>
    </rSty>
    <rSty dxfid="1">
      <rpv i="0">#,##0.00</rpv>
    </rSty>
    <rSty>
      <rpv i="1">1</rpv>
    </rSty>
    <rSty dxfid="2">
      <rpv i="0">#,##0</rpv>
    </rSty>
    <rSty dxfid="3"/>
    <rSty dxfid="0">
      <rpv i="0" xml:space="preserve">_ [$₹-as-IN] * #,##0_ ;_ [$₹-as-IN] * -#,##0_ ;_ [$₹-as-IN] * "-"_ ;_ @_ </rpv>
    </rSty>
    <rSty dxfid="4"/>
    <rSty dxfid="5">
      <rpv i="0">0</rpv>
    </rSty>
    <rSty dxfid="6">
      <rpv i="0">0.00</rpv>
    </rSty>
    <rSty dxfid="7"/>
    <rSty dxfid="0">
      <rpv i="0">_([$$-en-US]* #,##0.00_);_([$$-en-US]* (#,##0.00);_([$$-en-US]* "-"??_);_(@_)</rpv>
    </rSty>
    <rSty dxfid="0">
      <rpv i="0">_-[$£-en-GB]* #,##0.00_-;-[$£-en-GB]* #,##0.00_-;_-[$£-en-GB]*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0877-783F-4C75-A23A-5341611F3CD8}">
  <dimension ref="A1:D13"/>
  <sheetViews>
    <sheetView showGridLines="0" zoomScale="120" zoomScaleNormal="120" workbookViewId="0">
      <selection activeCell="M33" sqref="M33"/>
    </sheetView>
  </sheetViews>
  <sheetFormatPr defaultRowHeight="20.100000000000001" customHeight="1" x14ac:dyDescent="0.25"/>
  <cols>
    <col min="1" max="1" width="4.7109375" customWidth="1"/>
    <col min="2" max="2" width="15.5703125" customWidth="1"/>
    <col min="3" max="3" width="10.42578125" customWidth="1"/>
    <col min="4" max="4" width="10.28515625" customWidth="1"/>
    <col min="5" max="5" width="11.140625" bestFit="1" customWidth="1"/>
  </cols>
  <sheetData>
    <row r="1" spans="1:4" ht="20.100000000000001" customHeight="1" x14ac:dyDescent="0.25">
      <c r="A1" s="1"/>
      <c r="B1" s="2" t="s">
        <v>0</v>
      </c>
      <c r="C1" s="2"/>
      <c r="D1" s="2"/>
    </row>
    <row r="3" spans="1:4" ht="20.100000000000001" customHeight="1" x14ac:dyDescent="0.25">
      <c r="B3" s="3" t="s">
        <v>1</v>
      </c>
      <c r="C3" s="3"/>
      <c r="D3" s="3"/>
    </row>
    <row r="4" spans="1:4" ht="20.100000000000001" customHeight="1" x14ac:dyDescent="0.25">
      <c r="B4" s="6" t="s">
        <v>2</v>
      </c>
      <c r="C4" s="6"/>
      <c r="D4" s="6"/>
    </row>
    <row r="5" spans="1:4" ht="20.100000000000001" customHeight="1" x14ac:dyDescent="0.25">
      <c r="B5" s="6" t="s">
        <v>3</v>
      </c>
      <c r="C5" s="6"/>
      <c r="D5" s="6"/>
    </row>
    <row r="6" spans="1:4" ht="20.100000000000001" customHeight="1" x14ac:dyDescent="0.25">
      <c r="B6" s="6" t="s">
        <v>4</v>
      </c>
      <c r="C6" s="6"/>
      <c r="D6" s="6"/>
    </row>
    <row r="7" spans="1:4" ht="20.100000000000001" customHeight="1" x14ac:dyDescent="0.25">
      <c r="B7" s="6" t="s">
        <v>5</v>
      </c>
      <c r="C7" s="6"/>
      <c r="D7" s="6"/>
    </row>
    <row r="8" spans="1:4" ht="20.100000000000001" customHeight="1" x14ac:dyDescent="0.25">
      <c r="B8" s="6" t="s">
        <v>6</v>
      </c>
      <c r="C8" s="6"/>
      <c r="D8" s="6"/>
    </row>
    <row r="9" spans="1:4" ht="20.100000000000001" customHeight="1" x14ac:dyDescent="0.25">
      <c r="B9" s="6" t="s">
        <v>7</v>
      </c>
      <c r="C9" s="6"/>
      <c r="D9" s="6"/>
    </row>
    <row r="10" spans="1:4" ht="20.100000000000001" customHeight="1" x14ac:dyDescent="0.25">
      <c r="B10" s="6" t="s">
        <v>8</v>
      </c>
      <c r="C10" s="6"/>
      <c r="D10" s="6"/>
    </row>
    <row r="11" spans="1:4" ht="20.100000000000001" customHeight="1" x14ac:dyDescent="0.25">
      <c r="B11" s="6" t="s">
        <v>9</v>
      </c>
      <c r="C11" s="6"/>
      <c r="D11" s="6"/>
    </row>
    <row r="12" spans="1:4" ht="20.100000000000001" customHeight="1" x14ac:dyDescent="0.25">
      <c r="B12" s="6" t="s">
        <v>10</v>
      </c>
      <c r="C12" s="6"/>
      <c r="D12" s="6"/>
    </row>
    <row r="13" spans="1:4" ht="20.100000000000001" customHeight="1" x14ac:dyDescent="0.25">
      <c r="B13" s="6" t="s">
        <v>11</v>
      </c>
      <c r="C13" s="6"/>
      <c r="D13" s="6"/>
    </row>
  </sheetData>
  <mergeCells count="12">
    <mergeCell ref="B13:D13"/>
    <mergeCell ref="B7:D7"/>
    <mergeCell ref="B8:D8"/>
    <mergeCell ref="B9:D9"/>
    <mergeCell ref="B10:D10"/>
    <mergeCell ref="B11:D11"/>
    <mergeCell ref="B12:D12"/>
    <mergeCell ref="B1:D1"/>
    <mergeCell ref="B3:D3"/>
    <mergeCell ref="B4:D4"/>
    <mergeCell ref="B5:D5"/>
    <mergeCell ref="B6:D6"/>
  </mergeCells>
  <conditionalFormatting sqref="B4:B9">
    <cfRule type="duplicateValues" dxfId="27" priority="2" stopIfTrue="1"/>
  </conditionalFormatting>
  <conditionalFormatting sqref="B10:B13">
    <cfRule type="duplicateValues" dxfId="26" priority="1" stopIfTrue="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2BAA-FFA2-40D6-B955-9298040028E9}">
  <dimension ref="A1:C13"/>
  <sheetViews>
    <sheetView showGridLines="0" zoomScale="120" zoomScaleNormal="120" workbookViewId="0">
      <selection activeCell="I30" sqref="I30"/>
    </sheetView>
  </sheetViews>
  <sheetFormatPr defaultRowHeight="20.100000000000001" customHeight="1" x14ac:dyDescent="0.25"/>
  <cols>
    <col min="1" max="1" width="4.7109375" customWidth="1"/>
    <col min="2" max="2" width="15.5703125" customWidth="1"/>
    <col min="3" max="3" width="50.5703125" bestFit="1" customWidth="1"/>
    <col min="4" max="4" width="11.140625" bestFit="1" customWidth="1"/>
  </cols>
  <sheetData>
    <row r="1" spans="1:3" ht="20.100000000000001" customHeight="1" x14ac:dyDescent="0.25">
      <c r="A1" s="1"/>
      <c r="B1" s="2" t="s">
        <v>0</v>
      </c>
      <c r="C1" s="2"/>
    </row>
    <row r="3" spans="1:3" ht="20.100000000000001" customHeight="1" x14ac:dyDescent="0.25">
      <c r="B3" s="4" t="s">
        <v>1</v>
      </c>
      <c r="C3" s="4" t="s">
        <v>12</v>
      </c>
    </row>
    <row r="4" spans="1:3" ht="20.100000000000001" customHeight="1" x14ac:dyDescent="0.25">
      <c r="B4" s="5" t="s">
        <v>2</v>
      </c>
      <c r="C4" s="5" t="e" vm="1">
        <v>#VALUE!</v>
      </c>
    </row>
    <row r="5" spans="1:3" ht="20.100000000000001" customHeight="1" x14ac:dyDescent="0.25">
      <c r="B5" s="5" t="s">
        <v>3</v>
      </c>
      <c r="C5" s="5" t="e" vm="2">
        <v>#VALUE!</v>
      </c>
    </row>
    <row r="6" spans="1:3" ht="20.100000000000001" customHeight="1" x14ac:dyDescent="0.25">
      <c r="B6" s="5" t="s">
        <v>4</v>
      </c>
      <c r="C6" s="5" t="e" vm="3">
        <v>#VALUE!</v>
      </c>
    </row>
    <row r="7" spans="1:3" ht="20.100000000000001" customHeight="1" x14ac:dyDescent="0.25">
      <c r="B7" s="5" t="s">
        <v>5</v>
      </c>
      <c r="C7" s="5" t="e" vm="4">
        <v>#VALUE!</v>
      </c>
    </row>
    <row r="8" spans="1:3" ht="20.100000000000001" customHeight="1" x14ac:dyDescent="0.25">
      <c r="B8" s="5" t="s">
        <v>6</v>
      </c>
      <c r="C8" s="5" t="e" vm="5">
        <v>#VALUE!</v>
      </c>
    </row>
    <row r="9" spans="1:3" ht="20.100000000000001" customHeight="1" x14ac:dyDescent="0.25">
      <c r="B9" s="5" t="s">
        <v>7</v>
      </c>
      <c r="C9" s="5" t="e" vm="6">
        <v>#VALUE!</v>
      </c>
    </row>
    <row r="10" spans="1:3" ht="20.100000000000001" customHeight="1" x14ac:dyDescent="0.25">
      <c r="B10" s="5" t="s">
        <v>8</v>
      </c>
      <c r="C10" s="5" t="e" vm="7">
        <v>#VALUE!</v>
      </c>
    </row>
    <row r="11" spans="1:3" ht="20.100000000000001" customHeight="1" x14ac:dyDescent="0.25">
      <c r="B11" s="5" t="s">
        <v>9</v>
      </c>
      <c r="C11" s="5" t="e" vm="8">
        <v>#VALUE!</v>
      </c>
    </row>
    <row r="12" spans="1:3" ht="20.100000000000001" customHeight="1" x14ac:dyDescent="0.25">
      <c r="B12" s="5" t="s">
        <v>10</v>
      </c>
      <c r="C12" s="5" t="e" vm="9">
        <v>#VALUE!</v>
      </c>
    </row>
    <row r="13" spans="1:3" ht="20.100000000000001" customHeight="1" x14ac:dyDescent="0.25">
      <c r="B13" s="5" t="s">
        <v>11</v>
      </c>
      <c r="C13" s="5" t="e" vm="10">
        <v>#VALUE!</v>
      </c>
    </row>
  </sheetData>
  <mergeCells count="1">
    <mergeCell ref="B1:C1"/>
  </mergeCells>
  <conditionalFormatting sqref="B4:B9">
    <cfRule type="duplicateValues" dxfId="25" priority="4" stopIfTrue="1"/>
  </conditionalFormatting>
  <conditionalFormatting sqref="B10:B13">
    <cfRule type="duplicateValues" dxfId="24" priority="3" stopIfTrue="1"/>
  </conditionalFormatting>
  <conditionalFormatting sqref="C4:C9">
    <cfRule type="duplicateValues" dxfId="23" priority="2" stopIfTrue="1"/>
  </conditionalFormatting>
  <conditionalFormatting sqref="C10:C13">
    <cfRule type="duplicateValues" dxfId="22" priority="1"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8E7D-9C9D-42E7-9E8C-57B0A6EFB732}">
  <dimension ref="A1:K17"/>
  <sheetViews>
    <sheetView showGridLines="0" zoomScale="120" zoomScaleNormal="120" workbookViewId="0">
      <selection activeCell="J4" sqref="J4"/>
    </sheetView>
  </sheetViews>
  <sheetFormatPr defaultRowHeight="20.100000000000001" customHeight="1" x14ac:dyDescent="0.25"/>
  <cols>
    <col min="1" max="1" width="3.28515625" customWidth="1"/>
    <col min="2" max="2" width="13.85546875" customWidth="1"/>
    <col min="3" max="3" width="12.5703125" customWidth="1"/>
    <col min="4" max="6" width="11.140625" bestFit="1" customWidth="1"/>
    <col min="7" max="7" width="10.85546875" customWidth="1"/>
    <col min="8" max="8" width="14.140625" customWidth="1"/>
    <col min="9" max="9" width="10.140625" bestFit="1" customWidth="1"/>
    <col min="10" max="10" width="11.140625" bestFit="1" customWidth="1"/>
  </cols>
  <sheetData>
    <row r="1" spans="1:8" ht="20.100000000000001" customHeight="1" x14ac:dyDescent="0.25">
      <c r="A1" s="1"/>
      <c r="B1" s="2" t="s">
        <v>13</v>
      </c>
      <c r="C1" s="2"/>
      <c r="D1" s="2"/>
      <c r="E1" s="2"/>
      <c r="F1" s="2"/>
      <c r="G1" s="2"/>
    </row>
    <row r="3" spans="1:8" ht="20.100000000000001" customHeight="1" x14ac:dyDescent="0.25">
      <c r="B3" s="7" t="s">
        <v>1</v>
      </c>
      <c r="C3" s="10" cm="1" vm="11">
        <f t="array" aca="1" ref="C3:G3" ca="1">INDEX(TRANSPOSE(_xlfn.STOCKHISTORY(B4,H4,H6,2,0,0,1)),1)</f>
        <v>44562</v>
      </c>
      <c r="D3" s="10" vm="12">
        <f ca="1"/>
        <v>44593</v>
      </c>
      <c r="E3" s="10" vm="13">
        <f ca="1"/>
        <v>44621</v>
      </c>
      <c r="F3" s="10" vm="14">
        <f ca="1"/>
        <v>44652</v>
      </c>
      <c r="G3" s="10" vm="15">
        <f ca="1"/>
        <v>44682</v>
      </c>
      <c r="H3" s="7" t="s">
        <v>14</v>
      </c>
    </row>
    <row r="4" spans="1:8" ht="20.100000000000001" customHeight="1" x14ac:dyDescent="0.25">
      <c r="B4" s="5" t="s">
        <v>2</v>
      </c>
      <c r="C4" s="5" cm="1" vm="16">
        <f t="array" aca="1" ref="C4:G4" ca="1">TRANSPOSE(_xlfn.STOCKHISTORY(B4,$H$4,$H$6,2,0,1))</f>
        <v>2386.6</v>
      </c>
      <c r="D4" s="5" vm="17">
        <f ca="1"/>
        <v>2359.5500000000002</v>
      </c>
      <c r="E4" s="5" vm="18">
        <f ca="1"/>
        <v>2634.75</v>
      </c>
      <c r="F4" s="5" vm="19">
        <f ca="1"/>
        <v>2790.25</v>
      </c>
      <c r="G4" s="5" vm="20">
        <f ca="1"/>
        <v>2612</v>
      </c>
      <c r="H4" s="9">
        <v>44562</v>
      </c>
    </row>
    <row r="5" spans="1:8" ht="20.100000000000001" customHeight="1" x14ac:dyDescent="0.25">
      <c r="B5" s="5" t="s">
        <v>3</v>
      </c>
      <c r="C5" s="5" cm="1" vm="21">
        <f t="array" aca="1" ref="C5:G5" ca="1">TRANSPOSE(_xlfn.STOCKHISTORY(B5,$H$4,$H$6,2,0,1))</f>
        <v>10.199999999999999</v>
      </c>
      <c r="D5" s="5" vm="22">
        <f ca="1"/>
        <v>8.83</v>
      </c>
      <c r="E5" s="5" vm="23">
        <f ca="1"/>
        <v>8.17</v>
      </c>
      <c r="F5" s="5" vm="24">
        <f ca="1"/>
        <v>7.65</v>
      </c>
      <c r="G5" s="5" vm="25">
        <f ca="1"/>
        <v>7.13</v>
      </c>
      <c r="H5" s="7" t="s">
        <v>15</v>
      </c>
    </row>
    <row r="6" spans="1:8" ht="20.100000000000001" customHeight="1" x14ac:dyDescent="0.25">
      <c r="B6" s="5" t="s">
        <v>4</v>
      </c>
      <c r="C6" s="5" cm="1" vm="26">
        <f t="array" aca="1" ref="C6:G6" ca="1">TRANSPOSE(_xlfn.STOCKHISTORY(B6,$H$4,$H$6,2,0,1))</f>
        <v>1485.7</v>
      </c>
      <c r="D6" s="12" vm="27">
        <f ca="1"/>
        <v>1426.25</v>
      </c>
      <c r="E6" s="12" vm="28">
        <f ca="1"/>
        <v>1470.35</v>
      </c>
      <c r="F6" s="12" vm="29">
        <f ca="1"/>
        <v>1384.6</v>
      </c>
      <c r="G6" s="12" vm="30">
        <f ca="1"/>
        <v>1328.8</v>
      </c>
      <c r="H6" s="9">
        <f ca="1">TODAY()</f>
        <v>44707</v>
      </c>
    </row>
    <row r="7" spans="1:8" ht="20.100000000000001" customHeight="1" x14ac:dyDescent="0.25">
      <c r="B7" s="5" t="s">
        <v>5</v>
      </c>
      <c r="C7" s="5" cm="1" vm="31">
        <f t="array" aca="1" ref="C7:G7" ca="1">TRANSPOSE(_xlfn.STOCKHISTORY(B7,$H$4,$H$6,2,0,1))</f>
        <v>23.57</v>
      </c>
      <c r="D7" s="12" vm="32">
        <f ca="1"/>
        <v>22.46</v>
      </c>
      <c r="E7" s="12" vm="33">
        <f ca="1"/>
        <v>24.89</v>
      </c>
      <c r="F7" s="12" vm="34">
        <f ca="1"/>
        <v>19.87</v>
      </c>
      <c r="G7" s="12" vm="35">
        <f ca="1"/>
        <v>18.14</v>
      </c>
    </row>
    <row r="8" spans="1:8" ht="20.100000000000001" customHeight="1" x14ac:dyDescent="0.25">
      <c r="B8" s="5" t="s">
        <v>6</v>
      </c>
      <c r="C8" s="5" cm="1" vm="36">
        <f t="array" aca="1" ref="C8:G8" ca="1">TRANSPOSE(_xlfn.STOCKHISTORY(B8,$H$4,$H$6,2,0,1))</f>
        <v>788.8</v>
      </c>
      <c r="D8" s="12" vm="37">
        <f ca="1"/>
        <v>742.7</v>
      </c>
      <c r="E8" s="12" vm="38">
        <f ca="1"/>
        <v>730.3</v>
      </c>
      <c r="F8" s="12" vm="39">
        <f ca="1"/>
        <v>743.3</v>
      </c>
      <c r="G8" s="12" vm="40">
        <f ca="1"/>
        <v>713.35</v>
      </c>
    </row>
    <row r="9" spans="1:8" ht="20.100000000000001" customHeight="1" x14ac:dyDescent="0.25">
      <c r="B9" s="5" t="s">
        <v>7</v>
      </c>
      <c r="C9" s="5" cm="1" vm="41">
        <f t="array" aca="1" ref="C9:G9" ca="1">TRANSPOSE(_xlfn.STOCKHISTORY(B9,$H$4,$H$6,2,0,1))</f>
        <v>2273.75</v>
      </c>
      <c r="D9" s="12" vm="42">
        <f ca="1"/>
        <v>2172.1</v>
      </c>
      <c r="E9" s="12" vm="43">
        <f ca="1"/>
        <v>2048.65</v>
      </c>
      <c r="F9" s="12" vm="44">
        <f ca="1"/>
        <v>2234.85</v>
      </c>
      <c r="G9" s="12" vm="45">
        <f ca="1"/>
        <v>2298.6999999999998</v>
      </c>
    </row>
    <row r="10" spans="1:8" ht="20.100000000000001" customHeight="1" x14ac:dyDescent="0.25">
      <c r="B10" s="5" t="s">
        <v>8</v>
      </c>
      <c r="C10" s="5" cm="1" vm="46">
        <f t="array" aca="1" ref="C10:G10" ca="1">TRANSPOSE(_xlfn.STOCKHISTORY(B10,$H$4,$H$6,2,0,1))</f>
        <v>159.80000000000001</v>
      </c>
      <c r="D10" s="12" vm="47">
        <f ca="1"/>
        <v>169.55</v>
      </c>
      <c r="E10" s="12" vm="48">
        <f ca="1"/>
        <v>183.05</v>
      </c>
      <c r="F10" s="12" vm="49">
        <f ca="1"/>
        <v>182.85</v>
      </c>
      <c r="G10" s="12" vm="50">
        <f ca="1"/>
        <v>180.7</v>
      </c>
    </row>
    <row r="11" spans="1:8" ht="20.100000000000001" customHeight="1" x14ac:dyDescent="0.25">
      <c r="B11" s="5" t="s">
        <v>9</v>
      </c>
      <c r="C11" s="5" cm="1" vm="51">
        <f t="array" aca="1" ref="C11:G11" ca="1">TRANSPOSE(_xlfn.STOCKHISTORY(B11,$H$4,$H$6,2,0,1))</f>
        <v>125.2</v>
      </c>
      <c r="D11" s="12" vm="52">
        <f ca="1"/>
        <v>115</v>
      </c>
      <c r="E11" s="12" vm="53">
        <f ca="1"/>
        <v>118.95</v>
      </c>
      <c r="F11" s="12" vm="54">
        <f ca="1"/>
        <v>126</v>
      </c>
      <c r="G11" s="12" vm="55">
        <f ca="1"/>
        <v>114.8</v>
      </c>
    </row>
    <row r="12" spans="1:8" ht="20.100000000000001" customHeight="1" x14ac:dyDescent="0.25">
      <c r="B12" s="5" t="s">
        <v>10</v>
      </c>
      <c r="C12" s="5" cm="1" vm="56">
        <f t="array" aca="1" ref="C12:G12" ca="1">TRANSPOSE(_xlfn.STOCKHISTORY(B12,$H$4,$H$6,2,0,1))</f>
        <v>1727.5</v>
      </c>
      <c r="D12" s="12" vm="57">
        <f ca="1"/>
        <v>1598.5</v>
      </c>
      <c r="E12" s="12" vm="58">
        <f ca="1"/>
        <v>1664</v>
      </c>
      <c r="F12" s="12" vm="59">
        <f ca="1"/>
        <v>1692.3</v>
      </c>
      <c r="G12" s="12" vm="60">
        <f ca="1"/>
        <v>1375.55</v>
      </c>
    </row>
    <row r="13" spans="1:8" ht="20.100000000000001" customHeight="1" x14ac:dyDescent="0.25">
      <c r="B13" s="5" t="s">
        <v>11</v>
      </c>
      <c r="C13" s="5" cm="1" vm="61">
        <f t="array" aca="1" ref="C13:G13" ca="1">TRANSPOSE(_xlfn.STOCKHISTORY(B13,$H$4,$H$6,2,0,1))</f>
        <v>1195</v>
      </c>
      <c r="D13" s="12" vm="62">
        <f ca="1"/>
        <v>1165</v>
      </c>
      <c r="E13" s="12" vm="63">
        <f ca="1"/>
        <v>1105</v>
      </c>
      <c r="F13" s="12" vm="64">
        <f ca="1"/>
        <v>1217.5</v>
      </c>
      <c r="G13" s="12" vm="65">
        <f ca="1"/>
        <v>1062.5</v>
      </c>
    </row>
    <row r="17" spans="11:11" ht="20.100000000000001" customHeight="1" x14ac:dyDescent="0.25">
      <c r="K17" s="11" t="s">
        <v>16</v>
      </c>
    </row>
  </sheetData>
  <mergeCells count="1">
    <mergeCell ref="B1:G1"/>
  </mergeCells>
  <conditionalFormatting sqref="B4:B9">
    <cfRule type="duplicateValues" dxfId="21" priority="5" stopIfTrue="1"/>
  </conditionalFormatting>
  <conditionalFormatting sqref="B10:B13">
    <cfRule type="duplicateValues" dxfId="20" priority="4" stopIfTrue="1"/>
  </conditionalFormatting>
  <conditionalFormatting sqref="C4:G4 D5:G5 C5:C13">
    <cfRule type="duplicateValues" dxfId="17" priority="1"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EE12C-4580-4587-ADE5-6CF109EA860F}">
  <dimension ref="A1:M29"/>
  <sheetViews>
    <sheetView showGridLines="0" tabSelected="1" zoomScale="120" zoomScaleNormal="120" workbookViewId="0">
      <selection activeCell="C5" sqref="C5"/>
    </sheetView>
  </sheetViews>
  <sheetFormatPr defaultRowHeight="20.100000000000001" customHeight="1" x14ac:dyDescent="0.25"/>
  <cols>
    <col min="1" max="1" width="3.28515625" customWidth="1"/>
    <col min="2" max="2" width="13.85546875" customWidth="1"/>
    <col min="3" max="3" width="12.5703125" customWidth="1"/>
    <col min="4" max="6" width="11.140625" bestFit="1" customWidth="1"/>
    <col min="7" max="7" width="10.85546875" customWidth="1"/>
    <col min="8" max="8" width="14.140625" customWidth="1"/>
  </cols>
  <sheetData>
    <row r="1" spans="1:8" ht="20.100000000000001" customHeight="1" x14ac:dyDescent="0.25">
      <c r="A1" s="1"/>
      <c r="B1" s="2" t="s">
        <v>13</v>
      </c>
      <c r="C1" s="2"/>
      <c r="D1" s="2"/>
      <c r="E1" s="2"/>
      <c r="F1" s="2"/>
      <c r="G1" s="2"/>
    </row>
    <row r="3" spans="1:8" ht="20.100000000000001" customHeight="1" x14ac:dyDescent="0.25">
      <c r="B3" s="7" t="s">
        <v>1</v>
      </c>
      <c r="C3" s="10" cm="1" vm="11">
        <f t="array" aca="1" ref="C3:G3" ca="1">INDEX(TRANSPOSE(_xlfn.STOCKHISTORY(B4,H4,H6,2,0,0,1)),1)</f>
        <v>44562</v>
      </c>
      <c r="D3" s="10" vm="12">
        <f ca="1"/>
        <v>44593</v>
      </c>
      <c r="E3" s="10" vm="13">
        <f ca="1"/>
        <v>44621</v>
      </c>
      <c r="F3" s="10" vm="14">
        <f ca="1"/>
        <v>44652</v>
      </c>
      <c r="G3" s="10" vm="15">
        <f ca="1"/>
        <v>44682</v>
      </c>
      <c r="H3" s="7" t="s">
        <v>14</v>
      </c>
    </row>
    <row r="4" spans="1:8" ht="20.100000000000001" customHeight="1" x14ac:dyDescent="0.25">
      <c r="B4" s="5" t="s">
        <v>2</v>
      </c>
      <c r="C4" s="5" cm="1" vm="66">
        <f t="array" aca="1" ref="C4:G4" ca="1">TRANSPOSE(_xlfn.STOCKHISTORY(B4,$H$4,$H$6,2,0,2))</f>
        <v>2365</v>
      </c>
      <c r="D4" s="5" vm="67">
        <f ca="1"/>
        <v>2408</v>
      </c>
      <c r="E4" s="5" vm="68">
        <f ca="1"/>
        <v>2334.4499999999998</v>
      </c>
      <c r="F4" s="5" vm="69">
        <f ca="1"/>
        <v>2636</v>
      </c>
      <c r="G4" s="5" vm="70">
        <f ca="1"/>
        <v>2762</v>
      </c>
      <c r="H4" s="9">
        <v>44562</v>
      </c>
    </row>
    <row r="5" spans="1:8" ht="20.100000000000001" customHeight="1" x14ac:dyDescent="0.25">
      <c r="B5" s="5" t="s">
        <v>3</v>
      </c>
      <c r="C5" s="5" cm="1" vm="71">
        <f t="array" aca="1" ref="C5:G5" ca="1">TRANSPOSE(_xlfn.STOCKHISTORY(B5,$H$4,$H$6,2,0,2))</f>
        <v>10.18</v>
      </c>
      <c r="D5" s="5" vm="72">
        <f ca="1"/>
        <v>10.14</v>
      </c>
      <c r="E5" s="5" vm="73">
        <f ca="1"/>
        <v>8.7100000000000009</v>
      </c>
      <c r="F5" s="5" vm="74">
        <f ca="1"/>
        <v>8.19</v>
      </c>
      <c r="G5" s="5" vm="75">
        <f ca="1"/>
        <v>7.62</v>
      </c>
      <c r="H5" s="7" t="s">
        <v>15</v>
      </c>
    </row>
    <row r="6" spans="1:8" ht="20.100000000000001" customHeight="1" x14ac:dyDescent="0.25">
      <c r="B6" s="5" t="s">
        <v>4</v>
      </c>
      <c r="C6" s="5" cm="1" vm="76">
        <f t="array" aca="1" ref="C6:G6" ca="1">TRANSPOSE(_xlfn.STOCKHISTORY(B6,$H$4,$H$6,2,0,2))</f>
        <v>1485</v>
      </c>
      <c r="D6" s="12" vm="77">
        <f ca="1"/>
        <v>1508.5</v>
      </c>
      <c r="E6" s="12" vm="78">
        <f ca="1"/>
        <v>1386.5</v>
      </c>
      <c r="F6" s="12" vm="79">
        <f ca="1"/>
        <v>1476.4</v>
      </c>
      <c r="G6" s="12" vm="80">
        <f ca="1"/>
        <v>1362.05</v>
      </c>
      <c r="H6" s="9">
        <f ca="1">TODAY()</f>
        <v>44707</v>
      </c>
    </row>
    <row r="7" spans="1:8" ht="20.100000000000001" customHeight="1" x14ac:dyDescent="0.25">
      <c r="B7" s="5" t="s">
        <v>5</v>
      </c>
      <c r="C7" s="5" cm="1" vm="81">
        <f t="array" aca="1" ref="C7:G7" ca="1">TRANSPOSE(_xlfn.STOCKHISTORY(B7,$H$4,$H$6,2,0,2))</f>
        <v>25.39</v>
      </c>
      <c r="D7" s="12" vm="82">
        <f ca="1"/>
        <v>23.51</v>
      </c>
      <c r="E7" s="12" vm="83">
        <f ca="1"/>
        <v>22.39</v>
      </c>
      <c r="F7" s="12" vm="84">
        <f ca="1"/>
        <v>25.12</v>
      </c>
      <c r="G7" s="12" vm="85">
        <f ca="1"/>
        <v>19.88</v>
      </c>
    </row>
    <row r="8" spans="1:8" ht="20.100000000000001" customHeight="1" x14ac:dyDescent="0.25">
      <c r="B8" s="5" t="s">
        <v>6</v>
      </c>
      <c r="C8" s="5" cm="1" vm="86">
        <f t="array" aca="1" ref="C8:G8" ca="1">TRANSPOSE(_xlfn.STOCKHISTORY(B8,$H$4,$H$6,2,0,2))</f>
        <v>743.05</v>
      </c>
      <c r="D8" s="12" vm="87">
        <f ca="1"/>
        <v>802.05</v>
      </c>
      <c r="E8" s="12" vm="88">
        <f ca="1"/>
        <v>717</v>
      </c>
      <c r="F8" s="12" vm="89">
        <f ca="1"/>
        <v>725</v>
      </c>
      <c r="G8" s="12" vm="90">
        <f ca="1"/>
        <v>732</v>
      </c>
    </row>
    <row r="9" spans="1:8" ht="20.100000000000001" customHeight="1" x14ac:dyDescent="0.25">
      <c r="B9" s="5" t="s">
        <v>7</v>
      </c>
      <c r="C9" s="5" cm="1" vm="91">
        <f t="array" aca="1" ref="C9:G9" ca="1">TRANSPOSE(_xlfn.STOCKHISTORY(B9,$H$4,$H$6,2,0,2))</f>
        <v>2378</v>
      </c>
      <c r="D9" s="12" vm="92">
        <f ca="1"/>
        <v>2303.3000000000002</v>
      </c>
      <c r="E9" s="12" vm="93">
        <f ca="1"/>
        <v>2128.9499999999998</v>
      </c>
      <c r="F9" s="12" vm="94">
        <f ca="1"/>
        <v>2054.9</v>
      </c>
      <c r="G9" s="12" vm="95">
        <f ca="1"/>
        <v>2220</v>
      </c>
    </row>
    <row r="10" spans="1:8" ht="20.100000000000001" customHeight="1" x14ac:dyDescent="0.25">
      <c r="B10" s="5" t="s">
        <v>8</v>
      </c>
      <c r="C10" s="5" cm="1" vm="96">
        <f t="array" aca="1" ref="C10:G10" ca="1">TRANSPOSE(_xlfn.STOCKHISTORY(B10,$H$4,$H$6,2,0,2))</f>
        <v>147.25</v>
      </c>
      <c r="D10" s="12" vm="97">
        <f ca="1"/>
        <v>162</v>
      </c>
      <c r="E10" s="12" vm="98">
        <f ca="1"/>
        <v>171</v>
      </c>
      <c r="F10" s="12" vm="99">
        <f ca="1"/>
        <v>183.8</v>
      </c>
      <c r="G10" s="12" vm="100">
        <f ca="1"/>
        <v>182.7</v>
      </c>
    </row>
    <row r="11" spans="1:8" ht="20.100000000000001" customHeight="1" x14ac:dyDescent="0.25">
      <c r="B11" s="5" t="s">
        <v>9</v>
      </c>
      <c r="C11" s="5" cm="1" vm="101">
        <f t="array" aca="1" ref="C11:G11" ca="1">TRANSPOSE(_xlfn.STOCKHISTORY(B11,$H$4,$H$6,2,0,2))</f>
        <v>111.5</v>
      </c>
      <c r="D11" s="12" vm="54">
        <f ca="1"/>
        <v>126</v>
      </c>
      <c r="E11" s="12" vm="102">
        <f ca="1"/>
        <v>113.75</v>
      </c>
      <c r="F11" s="12" vm="103">
        <f ca="1"/>
        <v>119.1</v>
      </c>
      <c r="G11" s="12" vm="104">
        <f ca="1"/>
        <v>125.95</v>
      </c>
    </row>
    <row r="12" spans="1:8" ht="20.100000000000001" customHeight="1" x14ac:dyDescent="0.25">
      <c r="B12" s="5" t="s">
        <v>10</v>
      </c>
      <c r="C12" s="5" cm="1" vm="105">
        <f t="array" aca="1" ref="C12:G12" ca="1">TRANSPOSE(_xlfn.STOCKHISTORY(B12,$H$4,$H$6,2,0,2))</f>
        <v>1629.75</v>
      </c>
      <c r="D12" s="12" vm="106">
        <f ca="1"/>
        <v>1736.6</v>
      </c>
      <c r="E12" s="12" vm="107">
        <f ca="1"/>
        <v>1572</v>
      </c>
      <c r="F12" s="12" vm="108">
        <f ca="1"/>
        <v>1661.2</v>
      </c>
      <c r="G12" s="12" vm="109">
        <f ca="1"/>
        <v>1676</v>
      </c>
    </row>
    <row r="13" spans="1:8" ht="20.100000000000001" customHeight="1" x14ac:dyDescent="0.25">
      <c r="B13" s="5" t="s">
        <v>11</v>
      </c>
      <c r="C13" s="5" cm="1" vm="110">
        <f t="array" aca="1" ref="C13:G13" ca="1">TRANSPOSE(_xlfn.STOCKHISTORY(B13,$H$4,$H$6,2,0,2))</f>
        <v>1300</v>
      </c>
      <c r="D13" s="12" vm="111">
        <f ca="1"/>
        <v>1190</v>
      </c>
      <c r="E13" s="12" vm="112">
        <f ca="1"/>
        <v>1170</v>
      </c>
      <c r="F13" s="12" vm="113">
        <f ca="1"/>
        <v>1145</v>
      </c>
      <c r="G13" s="12" vm="114">
        <f ca="1"/>
        <v>1185</v>
      </c>
    </row>
    <row r="17" spans="11:13" ht="20.100000000000001" customHeight="1" x14ac:dyDescent="0.25">
      <c r="K17" s="11" t="s">
        <v>16</v>
      </c>
    </row>
    <row r="29" spans="11:13" ht="20.100000000000001" customHeight="1" x14ac:dyDescent="0.25">
      <c r="M29" s="11" t="s">
        <v>16</v>
      </c>
    </row>
  </sheetData>
  <mergeCells count="1">
    <mergeCell ref="B1:G1"/>
  </mergeCells>
  <conditionalFormatting sqref="B4:B9">
    <cfRule type="duplicateValues" dxfId="16" priority="3" stopIfTrue="1"/>
  </conditionalFormatting>
  <conditionalFormatting sqref="B10:B13">
    <cfRule type="duplicateValues" dxfId="15" priority="2" stopIfTrue="1"/>
  </conditionalFormatting>
  <conditionalFormatting sqref="C4:G4 D5:G5 C5:C13">
    <cfRule type="duplicateValues" dxfId="14" priority="1" stopIfTrue="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DC9C-AA79-41FE-9DE9-58C96BCC30EE}">
  <dimension ref="A1:M29"/>
  <sheetViews>
    <sheetView showGridLines="0" zoomScale="120" zoomScaleNormal="120" workbookViewId="0">
      <selection activeCell="G13" sqref="G13"/>
    </sheetView>
  </sheetViews>
  <sheetFormatPr defaultRowHeight="20.100000000000001" customHeight="1" x14ac:dyDescent="0.25"/>
  <cols>
    <col min="1" max="1" width="3.28515625" customWidth="1"/>
    <col min="2" max="2" width="13.85546875" customWidth="1"/>
    <col min="3" max="3" width="12.5703125" customWidth="1"/>
    <col min="4" max="6" width="11.140625" bestFit="1" customWidth="1"/>
    <col min="7" max="7" width="10.85546875" customWidth="1"/>
    <col min="8" max="8" width="14.140625" customWidth="1"/>
  </cols>
  <sheetData>
    <row r="1" spans="1:8" ht="20.100000000000001" customHeight="1" x14ac:dyDescent="0.25">
      <c r="A1" s="1"/>
      <c r="B1" s="2" t="s">
        <v>13</v>
      </c>
      <c r="C1" s="2"/>
      <c r="D1" s="2"/>
      <c r="E1" s="2"/>
      <c r="F1" s="2"/>
      <c r="G1" s="2"/>
    </row>
    <row r="3" spans="1:8" ht="20.100000000000001" customHeight="1" x14ac:dyDescent="0.25">
      <c r="B3" s="7" t="s">
        <v>1</v>
      </c>
      <c r="C3" s="10" cm="1" vm="11">
        <f t="array" aca="1" ref="C3:G3" ca="1">INDEX(TRANSPOSE(_xlfn.STOCKHISTORY(B4,H4,H6,2,0,0,1)),1)</f>
        <v>44562</v>
      </c>
      <c r="D3" s="10" vm="12">
        <f ca="1"/>
        <v>44593</v>
      </c>
      <c r="E3" s="10" vm="13">
        <f ca="1"/>
        <v>44621</v>
      </c>
      <c r="F3" s="10" vm="14">
        <f ca="1"/>
        <v>44652</v>
      </c>
      <c r="G3" s="10" vm="15">
        <f ca="1"/>
        <v>44682</v>
      </c>
      <c r="H3" s="7" t="s">
        <v>14</v>
      </c>
    </row>
    <row r="4" spans="1:8" ht="20.100000000000001" customHeight="1" x14ac:dyDescent="0.25">
      <c r="B4" s="5" t="s">
        <v>2</v>
      </c>
      <c r="C4" s="5" cm="1" vm="115">
        <f t="array" aca="1" ref="C4:G4" ca="1">TRANSPOSE(_xlfn.STOCKHISTORY(B4,$H$4,$H$6,2,0,3))</f>
        <v>2567.3000000000002</v>
      </c>
      <c r="D4" s="5" vm="116">
        <f ca="1"/>
        <v>2456.4</v>
      </c>
      <c r="E4" s="5" vm="117">
        <f ca="1"/>
        <v>2688</v>
      </c>
      <c r="F4" s="5" vm="118">
        <f ca="1"/>
        <v>2856.15</v>
      </c>
      <c r="G4" s="5" vm="119">
        <f ca="1"/>
        <v>2805.5</v>
      </c>
      <c r="H4" s="9">
        <v>44562</v>
      </c>
    </row>
    <row r="5" spans="1:8" ht="20.100000000000001" customHeight="1" x14ac:dyDescent="0.25">
      <c r="B5" s="5" t="s">
        <v>3</v>
      </c>
      <c r="C5" s="5" cm="1" vm="120">
        <f t="array" aca="1" ref="C5:G5" ca="1">TRANSPOSE(_xlfn.STOCKHISTORY(B5,$H$4,$H$6,2,0,3))</f>
        <v>11.58</v>
      </c>
      <c r="D5" s="5" vm="121">
        <f ca="1"/>
        <v>10.64</v>
      </c>
      <c r="E5" s="5" vm="122">
        <f ca="1"/>
        <v>8.93</v>
      </c>
      <c r="F5" s="5" vm="123">
        <f ca="1"/>
        <v>8.57</v>
      </c>
      <c r="G5" s="5" vm="124">
        <f ca="1"/>
        <v>8.26</v>
      </c>
      <c r="H5" s="7" t="s">
        <v>15</v>
      </c>
    </row>
    <row r="6" spans="1:8" ht="20.100000000000001" customHeight="1" x14ac:dyDescent="0.25">
      <c r="B6" s="5" t="s">
        <v>4</v>
      </c>
      <c r="C6" s="5" cm="1" vm="125">
        <f t="array" aca="1" ref="C6:G6" ca="1">TRANSPOSE(_xlfn.STOCKHISTORY(B6,$H$4,$H$6,2,0,3))</f>
        <v>1576.65</v>
      </c>
      <c r="D6" s="12" vm="126">
        <f ca="1"/>
        <v>1539.95</v>
      </c>
      <c r="E6" s="12" vm="127">
        <f ca="1"/>
        <v>1518.8</v>
      </c>
      <c r="F6" s="12" vm="128">
        <f ca="1"/>
        <v>1722.1</v>
      </c>
      <c r="G6" s="12" vm="129">
        <f ca="1"/>
        <v>1406.45</v>
      </c>
      <c r="H6" s="9">
        <f ca="1">TODAY()</f>
        <v>44707</v>
      </c>
    </row>
    <row r="7" spans="1:8" ht="20.100000000000001" customHeight="1" x14ac:dyDescent="0.25">
      <c r="B7" s="5" t="s">
        <v>5</v>
      </c>
      <c r="C7" s="5" cm="1" vm="130">
        <f t="array" aca="1" ref="C7:G7" ca="1">TRANSPOSE(_xlfn.STOCKHISTORY(B7,$H$4,$H$6,2,0,3))</f>
        <v>26.39</v>
      </c>
      <c r="D7" s="12" vm="131">
        <f ca="1"/>
        <v>23.844999999999999</v>
      </c>
      <c r="E7" s="12" vm="132">
        <f ca="1"/>
        <v>25.204999999999998</v>
      </c>
      <c r="F7" s="12" vm="133">
        <f ca="1"/>
        <v>25.13</v>
      </c>
      <c r="G7" s="12" vm="134">
        <f ca="1"/>
        <v>20.79</v>
      </c>
    </row>
    <row r="8" spans="1:8" ht="20.100000000000001" customHeight="1" x14ac:dyDescent="0.25">
      <c r="B8" s="5" t="s">
        <v>6</v>
      </c>
      <c r="C8" s="5" cm="1" vm="135">
        <f t="array" aca="1" ref="C8:G8" ca="1">TRANSPOSE(_xlfn.STOCKHISTORY(B8,$H$4,$H$6,2,0,3))</f>
        <v>836</v>
      </c>
      <c r="D8" s="12" vm="136">
        <f ca="1"/>
        <v>818.7</v>
      </c>
      <c r="E8" s="12" vm="137">
        <f ca="1"/>
        <v>739.9</v>
      </c>
      <c r="F8" s="12" vm="138">
        <f ca="1"/>
        <v>777.9</v>
      </c>
      <c r="G8" s="12" vm="139">
        <f ca="1"/>
        <v>747</v>
      </c>
    </row>
    <row r="9" spans="1:8" ht="20.100000000000001" customHeight="1" x14ac:dyDescent="0.25">
      <c r="B9" s="5" t="s">
        <v>7</v>
      </c>
      <c r="C9" s="5" cm="1" vm="140">
        <f t="array" aca="1" ref="C9:G9" ca="1">TRANSPOSE(_xlfn.STOCKHISTORY(B9,$H$4,$H$6,2,0,3))</f>
        <v>2425</v>
      </c>
      <c r="D9" s="12" vm="141">
        <f ca="1"/>
        <v>2333</v>
      </c>
      <c r="E9" s="12" vm="142">
        <f ca="1"/>
        <v>2167.9499999999998</v>
      </c>
      <c r="F9" s="12" vm="143">
        <f ca="1"/>
        <v>2290</v>
      </c>
      <c r="G9" s="12" vm="144">
        <f ca="1"/>
        <v>2388</v>
      </c>
    </row>
    <row r="10" spans="1:8" ht="20.100000000000001" customHeight="1" x14ac:dyDescent="0.25">
      <c r="B10" s="5" t="s">
        <v>8</v>
      </c>
      <c r="C10" s="5" cm="1" vm="145">
        <f t="array" aca="1" ref="C10:G10" ca="1">TRANSPOSE(_xlfn.STOCKHISTORY(B10,$H$4,$H$6,2,0,3))</f>
        <v>168.25</v>
      </c>
      <c r="D10" s="12" vm="146">
        <f ca="1"/>
        <v>170.3</v>
      </c>
      <c r="E10" s="12" vm="147">
        <f ca="1"/>
        <v>197.75</v>
      </c>
      <c r="F10" s="12" vm="148">
        <f ca="1"/>
        <v>209</v>
      </c>
      <c r="G10" s="12" vm="149">
        <f ca="1"/>
        <v>191.95</v>
      </c>
    </row>
    <row r="11" spans="1:8" ht="20.100000000000001" customHeight="1" x14ac:dyDescent="0.25">
      <c r="B11" s="5" t="s">
        <v>9</v>
      </c>
      <c r="C11" s="5" cm="1" vm="150">
        <f t="array" aca="1" ref="C11:G11" ca="1">TRANSPOSE(_xlfn.STOCKHISTORY(B11,$H$4,$H$6,2,0,3))</f>
        <v>128</v>
      </c>
      <c r="D11" s="12" vm="54">
        <f ca="1"/>
        <v>126</v>
      </c>
      <c r="E11" s="12" vm="151">
        <f ca="1"/>
        <v>124.85</v>
      </c>
      <c r="F11" s="12" vm="152">
        <f ca="1"/>
        <v>136.05000000000001</v>
      </c>
      <c r="G11" s="12" vm="153">
        <f ca="1"/>
        <v>128.69999999999999</v>
      </c>
    </row>
    <row r="12" spans="1:8" ht="20.100000000000001" customHeight="1" x14ac:dyDescent="0.25">
      <c r="B12" s="5" t="s">
        <v>10</v>
      </c>
      <c r="C12" s="5" cm="1" vm="154">
        <f t="array" aca="1" ref="C12:G12" ca="1">TRANSPOSE(_xlfn.STOCKHISTORY(B12,$H$4,$H$6,2,0,3))</f>
        <v>1929.8</v>
      </c>
      <c r="D12" s="12" vm="155">
        <f ca="1"/>
        <v>1790</v>
      </c>
      <c r="E12" s="12" vm="156">
        <f ca="1"/>
        <v>1678.6</v>
      </c>
      <c r="F12" s="12" vm="157">
        <f ca="1"/>
        <v>1830.9</v>
      </c>
      <c r="G12" s="12" vm="158">
        <f ca="1"/>
        <v>1703.5</v>
      </c>
    </row>
    <row r="13" spans="1:8" ht="20.100000000000001" customHeight="1" x14ac:dyDescent="0.25">
      <c r="B13" s="5" t="s">
        <v>11</v>
      </c>
      <c r="C13" s="5" cm="1" vm="159">
        <f t="array" aca="1" ref="C13:G13" ca="1">TRANSPOSE(_xlfn.STOCKHISTORY(B13,$H$4,$H$6,2,0,3))</f>
        <v>1425</v>
      </c>
      <c r="D13" s="12" vm="110">
        <f ca="1"/>
        <v>1300</v>
      </c>
      <c r="E13" s="12" vm="160">
        <f ca="1"/>
        <v>1240</v>
      </c>
      <c r="F13" s="12" vm="161">
        <f ca="1"/>
        <v>1280</v>
      </c>
      <c r="G13" s="12" vm="162">
        <f ca="1"/>
        <v>1220</v>
      </c>
    </row>
    <row r="17" spans="10:13" ht="20.100000000000001" customHeight="1" x14ac:dyDescent="0.25">
      <c r="K17" s="11" t="s">
        <v>16</v>
      </c>
    </row>
    <row r="19" spans="10:13" ht="20.100000000000001" customHeight="1" x14ac:dyDescent="0.25">
      <c r="J19" s="11" t="s">
        <v>16</v>
      </c>
    </row>
    <row r="29" spans="10:13" ht="20.100000000000001" customHeight="1" x14ac:dyDescent="0.25">
      <c r="M29" s="11" t="s">
        <v>16</v>
      </c>
    </row>
  </sheetData>
  <mergeCells count="1">
    <mergeCell ref="B1:G1"/>
  </mergeCells>
  <conditionalFormatting sqref="B4:B9">
    <cfRule type="duplicateValues" dxfId="13" priority="3" stopIfTrue="1"/>
  </conditionalFormatting>
  <conditionalFormatting sqref="B10:B13">
    <cfRule type="duplicateValues" dxfId="12" priority="2" stopIfTrue="1"/>
  </conditionalFormatting>
  <conditionalFormatting sqref="C4:G4 D5:G5 C5:C13">
    <cfRule type="duplicateValues" dxfId="11" priority="1" stopIfTrue="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33E2-BD06-4543-BB4B-EA7F3A53AB53}">
  <dimension ref="A1:M29"/>
  <sheetViews>
    <sheetView showGridLines="0" zoomScale="120" zoomScaleNormal="120" workbookViewId="0">
      <selection activeCell="C13" sqref="C13"/>
    </sheetView>
  </sheetViews>
  <sheetFormatPr defaultRowHeight="20.100000000000001" customHeight="1" x14ac:dyDescent="0.25"/>
  <cols>
    <col min="1" max="1" width="3.28515625" customWidth="1"/>
    <col min="2" max="2" width="13.85546875" customWidth="1"/>
    <col min="3" max="3" width="12.5703125" customWidth="1"/>
    <col min="4" max="6" width="11.140625" bestFit="1" customWidth="1"/>
    <col min="7" max="7" width="10.85546875" customWidth="1"/>
    <col min="8" max="8" width="14.140625" customWidth="1"/>
  </cols>
  <sheetData>
    <row r="1" spans="1:8" ht="20.100000000000001" customHeight="1" x14ac:dyDescent="0.25">
      <c r="A1" s="1"/>
      <c r="B1" s="2" t="s">
        <v>13</v>
      </c>
      <c r="C1" s="2"/>
      <c r="D1" s="2"/>
      <c r="E1" s="2"/>
      <c r="F1" s="2"/>
      <c r="G1" s="2"/>
    </row>
    <row r="3" spans="1:8" ht="20.100000000000001" customHeight="1" x14ac:dyDescent="0.25">
      <c r="B3" s="7" t="s">
        <v>1</v>
      </c>
      <c r="C3" s="10" cm="1" vm="11">
        <f t="array" aca="1" ref="C3:G3" ca="1">INDEX(TRANSPOSE(_xlfn.STOCKHISTORY(B4,H4,H6,2,0,0,1)),1)</f>
        <v>44562</v>
      </c>
      <c r="D3" s="10" vm="12">
        <f ca="1"/>
        <v>44593</v>
      </c>
      <c r="E3" s="10" vm="13">
        <f ca="1"/>
        <v>44621</v>
      </c>
      <c r="F3" s="10" vm="14">
        <f ca="1"/>
        <v>44652</v>
      </c>
      <c r="G3" s="10" vm="15">
        <f ca="1"/>
        <v>44682</v>
      </c>
      <c r="H3" s="7" t="s">
        <v>14</v>
      </c>
    </row>
    <row r="4" spans="1:8" ht="20.100000000000001" customHeight="1" x14ac:dyDescent="0.25">
      <c r="B4" s="5" t="s">
        <v>2</v>
      </c>
      <c r="C4" s="5" cm="1" vm="163">
        <f t="array" aca="1" ref="C4:G4" ca="1">TRANSPOSE(_xlfn.STOCKHISTORY(B4,$H$4,$H$6,2,0,4))</f>
        <v>2305</v>
      </c>
      <c r="D4" s="5" vm="164">
        <f ca="1"/>
        <v>2243</v>
      </c>
      <c r="E4" s="5" vm="165">
        <f ca="1"/>
        <v>2180</v>
      </c>
      <c r="F4" s="5" vm="166">
        <f ca="1"/>
        <v>2521.8000000000002</v>
      </c>
      <c r="G4" s="5" vm="167">
        <f ca="1"/>
        <v>2370</v>
      </c>
      <c r="H4" s="9">
        <v>44562</v>
      </c>
    </row>
    <row r="5" spans="1:8" ht="20.100000000000001" customHeight="1" x14ac:dyDescent="0.25">
      <c r="B5" s="5" t="s">
        <v>3</v>
      </c>
      <c r="C5" s="5" cm="1" vm="168">
        <f t="array" aca="1" ref="C5:G5" ca="1">TRANSPOSE(_xlfn.STOCKHISTORY(B5,$H$4,$H$6,2,0,4))</f>
        <v>9.34</v>
      </c>
      <c r="D5" s="5" vm="169">
        <f ca="1"/>
        <v>7.8</v>
      </c>
      <c r="E5" s="5" vm="170">
        <f ca="1"/>
        <v>7.73</v>
      </c>
      <c r="F5" s="5" vm="171">
        <f ca="1"/>
        <v>7.37</v>
      </c>
      <c r="G5" s="5" vm="172">
        <f ca="1"/>
        <v>6.7</v>
      </c>
      <c r="H5" s="7" t="s">
        <v>15</v>
      </c>
    </row>
    <row r="6" spans="1:8" ht="20.100000000000001" customHeight="1" x14ac:dyDescent="0.25">
      <c r="B6" s="5" t="s">
        <v>4</v>
      </c>
      <c r="C6" s="5" cm="1" vm="173">
        <f t="array" aca="1" ref="C6:G6" ca="1">TRANSPOSE(_xlfn.STOCKHISTORY(B6,$H$4,$H$6,2,0,4))</f>
        <v>1435</v>
      </c>
      <c r="D6" s="12" vm="174">
        <f ca="1"/>
        <v>1407.15</v>
      </c>
      <c r="E6" s="12" vm="175">
        <f ca="1"/>
        <v>1292</v>
      </c>
      <c r="F6" s="12" vm="176">
        <f ca="1"/>
        <v>1322.25</v>
      </c>
      <c r="G6" s="12" vm="177">
        <f ca="1"/>
        <v>1278.3</v>
      </c>
      <c r="H6" s="9">
        <f ca="1">TODAY()</f>
        <v>44707</v>
      </c>
    </row>
    <row r="7" spans="1:8" ht="20.100000000000001" customHeight="1" x14ac:dyDescent="0.25">
      <c r="B7" s="5" t="s">
        <v>5</v>
      </c>
      <c r="C7" s="5" cm="1" vm="178">
        <f t="array" aca="1" ref="C7:G7" ca="1">TRANSPOSE(_xlfn.STOCKHISTORY(B7,$H$4,$H$6,2,0,4))</f>
        <v>21.72</v>
      </c>
      <c r="D7" s="12" vm="179">
        <f ca="1"/>
        <v>21.04</v>
      </c>
      <c r="E7" s="12" vm="180">
        <f ca="1"/>
        <v>22.035</v>
      </c>
      <c r="F7" s="12" vm="181">
        <f ca="1"/>
        <v>19.75</v>
      </c>
      <c r="G7" s="12" vm="182">
        <f ca="1"/>
        <v>17.899999999999999</v>
      </c>
    </row>
    <row r="8" spans="1:8" ht="20.100000000000001" customHeight="1" x14ac:dyDescent="0.25">
      <c r="B8" s="5" t="s">
        <v>6</v>
      </c>
      <c r="C8" s="5" cm="1" vm="183">
        <f t="array" aca="1" ref="C8:G8" ca="1">TRANSPOSE(_xlfn.STOCKHISTORY(B8,$H$4,$H$6,2,0,4))</f>
        <v>743</v>
      </c>
      <c r="D8" s="12" vm="184">
        <f ca="1"/>
        <v>702.3</v>
      </c>
      <c r="E8" s="12" vm="185">
        <f ca="1"/>
        <v>642.15</v>
      </c>
      <c r="F8" s="12" vm="186">
        <f ca="1"/>
        <v>723.1</v>
      </c>
      <c r="G8" s="12" vm="187">
        <f ca="1"/>
        <v>675</v>
      </c>
    </row>
    <row r="9" spans="1:8" ht="20.100000000000001" customHeight="1" x14ac:dyDescent="0.25">
      <c r="B9" s="5" t="s">
        <v>7</v>
      </c>
      <c r="C9" s="5" cm="1" vm="188">
        <f t="array" aca="1" ref="C9:G9" ca="1">TRANSPOSE(_xlfn.STOCKHISTORY(B9,$H$4,$H$6,2,0,4))</f>
        <v>2240.9</v>
      </c>
      <c r="D9" s="12" vm="189">
        <f ca="1"/>
        <v>2120</v>
      </c>
      <c r="E9" s="12" vm="190">
        <f ca="1"/>
        <v>1901.55</v>
      </c>
      <c r="F9" s="12" vm="191">
        <f ca="1"/>
        <v>2038.4</v>
      </c>
      <c r="G9" s="12" vm="192">
        <f ca="1"/>
        <v>2106.1999999999998</v>
      </c>
    </row>
    <row r="10" spans="1:8" ht="20.100000000000001" customHeight="1" x14ac:dyDescent="0.25">
      <c r="B10" s="5" t="s">
        <v>8</v>
      </c>
      <c r="C10" s="5" cm="1" vm="193">
        <f t="array" aca="1" ref="C10:G10" ca="1">TRANSPOSE(_xlfn.STOCKHISTORY(B10,$H$4,$H$6,2,0,4))</f>
        <v>147</v>
      </c>
      <c r="D10" s="12" vm="194">
        <f ca="1"/>
        <v>149</v>
      </c>
      <c r="E10" s="12" vm="98">
        <f ca="1"/>
        <v>171</v>
      </c>
      <c r="F10" s="12" vm="195">
        <f ca="1"/>
        <v>181.9</v>
      </c>
      <c r="G10" s="12" vm="196">
        <f ca="1"/>
        <v>164.65</v>
      </c>
    </row>
    <row r="11" spans="1:8" ht="20.100000000000001" customHeight="1" x14ac:dyDescent="0.25">
      <c r="B11" s="5" t="s">
        <v>9</v>
      </c>
      <c r="C11" s="5" cm="1" vm="197">
        <f t="array" aca="1" ref="C11:G11" ca="1">TRANSPOSE(_xlfn.STOCKHISTORY(B11,$H$4,$H$6,2,0,4))</f>
        <v>111.35</v>
      </c>
      <c r="D11" s="12" vm="198">
        <f ca="1"/>
        <v>109.3</v>
      </c>
      <c r="E11" s="12" vm="199">
        <f ca="1"/>
        <v>111.2</v>
      </c>
      <c r="F11" s="12" vm="200">
        <f ca="1"/>
        <v>119</v>
      </c>
      <c r="G11" s="12" vm="201">
        <f ca="1"/>
        <v>114.2</v>
      </c>
    </row>
    <row r="12" spans="1:8" ht="20.100000000000001" customHeight="1" x14ac:dyDescent="0.25">
      <c r="B12" s="5" t="s">
        <v>10</v>
      </c>
      <c r="C12" s="5" cm="1" vm="202">
        <f t="array" aca="1" ref="C12:G12" ca="1">TRANSPOSE(_xlfn.STOCKHISTORY(B12,$H$4,$H$6,2,0,4))</f>
        <v>1617</v>
      </c>
      <c r="D12" s="12" vm="203">
        <f ca="1"/>
        <v>1535</v>
      </c>
      <c r="E12" s="12" vm="204">
        <f ca="1"/>
        <v>1407.2</v>
      </c>
      <c r="F12" s="12" vm="205">
        <f ca="1"/>
        <v>1658</v>
      </c>
      <c r="G12" s="12" vm="206">
        <f ca="1"/>
        <v>1356.8</v>
      </c>
    </row>
    <row r="13" spans="1:8" ht="20.100000000000001" customHeight="1" x14ac:dyDescent="0.25">
      <c r="B13" s="5" t="s">
        <v>11</v>
      </c>
      <c r="C13" s="5" cm="1" vm="207">
        <f t="array" aca="1" ref="C13:G13" ca="1">TRANSPOSE(_xlfn.STOCKHISTORY(B13,$H$4,$H$6,2,0,4))</f>
        <v>1160.2</v>
      </c>
      <c r="D13" s="12" vm="208">
        <f ca="1"/>
        <v>1100</v>
      </c>
      <c r="E13" s="12" vm="209">
        <f ca="1"/>
        <v>1040</v>
      </c>
      <c r="F13" s="12" vm="210">
        <f ca="1"/>
        <v>1084.71</v>
      </c>
      <c r="G13" s="12" vm="211">
        <f ca="1"/>
        <v>994</v>
      </c>
    </row>
    <row r="17" spans="10:13" ht="20.100000000000001" customHeight="1" x14ac:dyDescent="0.25">
      <c r="K17" s="11" t="s">
        <v>16</v>
      </c>
    </row>
    <row r="19" spans="10:13" ht="20.100000000000001" customHeight="1" x14ac:dyDescent="0.25">
      <c r="J19" s="11" t="s">
        <v>16</v>
      </c>
    </row>
    <row r="24" spans="10:13" ht="20.100000000000001" customHeight="1" x14ac:dyDescent="0.25">
      <c r="K24" s="11" t="s">
        <v>16</v>
      </c>
    </row>
    <row r="29" spans="10:13" ht="20.100000000000001" customHeight="1" x14ac:dyDescent="0.25">
      <c r="M29" s="11" t="s">
        <v>16</v>
      </c>
    </row>
  </sheetData>
  <mergeCells count="1">
    <mergeCell ref="B1:G1"/>
  </mergeCells>
  <conditionalFormatting sqref="B4:B9">
    <cfRule type="duplicateValues" dxfId="10" priority="3" stopIfTrue="1"/>
  </conditionalFormatting>
  <conditionalFormatting sqref="B10:B13">
    <cfRule type="duplicateValues" dxfId="9" priority="2" stopIfTrue="1"/>
  </conditionalFormatting>
  <conditionalFormatting sqref="C4:G4 D5:G5 C5:C13">
    <cfRule type="duplicateValues" dxfId="8" priority="1"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9A1D-DE62-4F0C-985E-E9ABED6A01B3}">
  <dimension ref="A1:M29"/>
  <sheetViews>
    <sheetView showGridLines="0" zoomScale="120" zoomScaleNormal="120" workbookViewId="0">
      <selection activeCell="H3" sqref="H3:H6"/>
    </sheetView>
  </sheetViews>
  <sheetFormatPr defaultRowHeight="20.100000000000001" customHeight="1" x14ac:dyDescent="0.25"/>
  <cols>
    <col min="1" max="1" width="3.28515625" customWidth="1"/>
    <col min="2" max="2" width="13.85546875" customWidth="1"/>
    <col min="3" max="3" width="12.5703125" customWidth="1"/>
    <col min="4" max="7" width="11.7109375" bestFit="1" customWidth="1"/>
    <col min="8" max="8" width="14.140625" customWidth="1"/>
  </cols>
  <sheetData>
    <row r="1" spans="1:10" ht="20.100000000000001" customHeight="1" x14ac:dyDescent="0.25">
      <c r="A1" s="1"/>
      <c r="B1" s="2" t="s">
        <v>13</v>
      </c>
      <c r="C1" s="2"/>
      <c r="D1" s="2"/>
      <c r="E1" s="2"/>
      <c r="F1" s="2"/>
      <c r="G1" s="2"/>
    </row>
    <row r="3" spans="1:10" ht="20.100000000000001" customHeight="1" x14ac:dyDescent="0.25">
      <c r="B3" s="7" t="s">
        <v>1</v>
      </c>
      <c r="C3" s="10" cm="1" vm="11">
        <f t="array" aca="1" ref="C3:G3" ca="1">INDEX(TRANSPOSE(_xlfn.STOCKHISTORY(B4,H4,H6,2,0,0,1)),1)</f>
        <v>44562</v>
      </c>
      <c r="D3" s="10" vm="12">
        <f ca="1"/>
        <v>44593</v>
      </c>
      <c r="E3" s="10" vm="13">
        <f ca="1"/>
        <v>44621</v>
      </c>
      <c r="F3" s="10" vm="14">
        <f ca="1"/>
        <v>44652</v>
      </c>
      <c r="G3" s="10" vm="15">
        <f ca="1"/>
        <v>44682</v>
      </c>
      <c r="H3" s="7" t="s">
        <v>14</v>
      </c>
    </row>
    <row r="4" spans="1:10" ht="20.100000000000001" customHeight="1" x14ac:dyDescent="0.25">
      <c r="B4" s="5" t="s">
        <v>2</v>
      </c>
      <c r="C4" s="5" cm="1" vm="212">
        <f t="array" aca="1" ref="C4:G4" ca="1">TRANSPOSE(_xlfn.STOCKHISTORY(B4,$H$4,$H$6,2,0,5))</f>
        <v>126710759</v>
      </c>
      <c r="D4" s="5" vm="213">
        <f ca="1"/>
        <v>115883508</v>
      </c>
      <c r="E4" s="5" vm="214">
        <f ca="1"/>
        <v>145025237</v>
      </c>
      <c r="F4" s="5" vm="215">
        <f ca="1"/>
        <v>136208977</v>
      </c>
      <c r="G4" s="5" vm="216">
        <f ca="1"/>
        <v>131466337</v>
      </c>
      <c r="H4" s="9">
        <v>44562</v>
      </c>
    </row>
    <row r="5" spans="1:10" ht="20.100000000000001" customHeight="1" x14ac:dyDescent="0.25">
      <c r="B5" s="5" t="s">
        <v>3</v>
      </c>
      <c r="C5" s="5" cm="1" vm="217">
        <f t="array" aca="1" ref="C5:G5" ca="1">TRANSPOSE(_xlfn.STOCKHISTORY(B5,$H$4,$H$6,2,0,5))</f>
        <v>13022411</v>
      </c>
      <c r="D5" s="5" vm="218">
        <f ca="1"/>
        <v>21739266</v>
      </c>
      <c r="E5" s="5" vm="219">
        <f ca="1"/>
        <v>12585457</v>
      </c>
      <c r="F5" s="5" vm="220">
        <f ca="1"/>
        <v>6790791</v>
      </c>
      <c r="G5" s="5" vm="221">
        <f ca="1"/>
        <v>12279140</v>
      </c>
      <c r="H5" s="7" t="s">
        <v>15</v>
      </c>
    </row>
    <row r="6" spans="1:10" ht="20.100000000000001" customHeight="1" x14ac:dyDescent="0.25">
      <c r="B6" s="5" t="s">
        <v>4</v>
      </c>
      <c r="C6" s="5" cm="1" vm="222">
        <f t="array" aca="1" ref="C6:G6" ca="1">TRANSPOSE(_xlfn.STOCKHISTORY(B6,$H$4,$H$6,2,0,5))</f>
        <v>156401807</v>
      </c>
      <c r="D6" s="12" vm="223">
        <f ca="1"/>
        <v>129636002</v>
      </c>
      <c r="E6" s="12" vm="224">
        <f ca="1"/>
        <v>214562417</v>
      </c>
      <c r="F6" s="12" vm="225">
        <f ca="1"/>
        <v>338232212</v>
      </c>
      <c r="G6" s="12" vm="226">
        <f ca="1"/>
        <v>162076689</v>
      </c>
      <c r="H6" s="9">
        <f ca="1">TODAY()</f>
        <v>44707</v>
      </c>
    </row>
    <row r="7" spans="1:10" ht="20.100000000000001" customHeight="1" x14ac:dyDescent="0.25">
      <c r="B7" s="5" t="s">
        <v>5</v>
      </c>
      <c r="C7" s="5" cm="1" vm="227">
        <f t="array" aca="1" ref="C7:G7" ca="1">TRANSPOSE(_xlfn.STOCKHISTORY(B7,$H$4,$H$6,2,0,5))</f>
        <v>238121083</v>
      </c>
      <c r="D7" s="12" vm="228">
        <f ca="1"/>
        <v>215212584</v>
      </c>
      <c r="E7" s="12" vm="229">
        <f ca="1"/>
        <v>227337315</v>
      </c>
      <c r="F7" s="12" vm="230">
        <f ca="1"/>
        <v>255888517</v>
      </c>
      <c r="G7" s="12" vm="231">
        <f ca="1"/>
        <v>196083512</v>
      </c>
    </row>
    <row r="8" spans="1:10" ht="20.100000000000001" customHeight="1" x14ac:dyDescent="0.25">
      <c r="B8" s="5" t="s">
        <v>6</v>
      </c>
      <c r="C8" s="5" cm="1" vm="232">
        <f t="array" aca="1" ref="C8:G8" ca="1">TRANSPOSE(_xlfn.STOCKHISTORY(B8,$H$4,$H$6,2,0,5))</f>
        <v>279251169</v>
      </c>
      <c r="D8" s="12" vm="233">
        <f ca="1"/>
        <v>288255231</v>
      </c>
      <c r="E8" s="12" vm="234">
        <f ca="1"/>
        <v>423463671</v>
      </c>
      <c r="F8" s="12" vm="235">
        <f ca="1"/>
        <v>331468931</v>
      </c>
      <c r="G8" s="12" vm="236">
        <f ca="1"/>
        <v>220122812</v>
      </c>
    </row>
    <row r="9" spans="1:10" ht="20.100000000000001" customHeight="1" x14ac:dyDescent="0.25">
      <c r="B9" s="5" t="s">
        <v>7</v>
      </c>
      <c r="C9" s="5" cm="1" vm="237">
        <f t="array" aca="1" ref="C9:G9" ca="1">TRANSPOSE(_xlfn.STOCKHISTORY(B9,$H$4,$H$6,2,0,5))</f>
        <v>35155340</v>
      </c>
      <c r="D9" s="12" vm="238">
        <f ca="1"/>
        <v>28162744</v>
      </c>
      <c r="E9" s="12" vm="239">
        <f ca="1"/>
        <v>59675399</v>
      </c>
      <c r="F9" s="12" vm="240">
        <f ca="1"/>
        <v>39286419</v>
      </c>
      <c r="G9" s="12" vm="241">
        <f ca="1"/>
        <v>32039725</v>
      </c>
    </row>
    <row r="10" spans="1:10" ht="20.100000000000001" customHeight="1" x14ac:dyDescent="0.25">
      <c r="B10" s="5" t="s">
        <v>8</v>
      </c>
      <c r="C10" s="5" cm="1" vm="242">
        <f t="array" aca="1" ref="C10:G10" ca="1">TRANSPOSE(_xlfn.STOCKHISTORY(B10,$H$4,$H$6,2,0,5))</f>
        <v>236859726</v>
      </c>
      <c r="D10" s="12" vm="243">
        <f ca="1"/>
        <v>258456678</v>
      </c>
      <c r="E10" s="12" vm="244">
        <f ca="1"/>
        <v>483313899</v>
      </c>
      <c r="F10" s="12" vm="245">
        <f ca="1"/>
        <v>436474466</v>
      </c>
      <c r="G10" s="12" vm="246">
        <f ca="1"/>
        <v>230600753</v>
      </c>
    </row>
    <row r="11" spans="1:10" ht="20.100000000000001" customHeight="1" x14ac:dyDescent="0.25">
      <c r="B11" s="5" t="s">
        <v>9</v>
      </c>
      <c r="C11" s="5" cm="1" vm="247">
        <f t="array" aca="1" ref="C11:G11" ca="1">TRANSPOSE(_xlfn.STOCKHISTORY(B11,$H$4,$H$6,2,0,5))</f>
        <v>185962312</v>
      </c>
      <c r="D11" s="12" vm="248">
        <f ca="1"/>
        <v>230320901</v>
      </c>
      <c r="E11" s="12" vm="249">
        <f ca="1"/>
        <v>413481532</v>
      </c>
      <c r="F11" s="12" vm="250">
        <f ca="1"/>
        <v>237869817</v>
      </c>
      <c r="G11" s="12" vm="251">
        <f ca="1"/>
        <v>225613894</v>
      </c>
    </row>
    <row r="12" spans="1:10" ht="20.100000000000001" customHeight="1" x14ac:dyDescent="0.25">
      <c r="B12" s="5" t="s">
        <v>10</v>
      </c>
      <c r="C12" s="5" cm="1" vm="252">
        <f t="array" aca="1" ref="C12:G12" ca="1">TRANSPOSE(_xlfn.STOCKHISTORY(B12,$H$4,$H$6,2,0,5))</f>
        <v>21532338</v>
      </c>
      <c r="D12" s="12" vm="253">
        <f ca="1"/>
        <v>17508860</v>
      </c>
      <c r="E12" s="12" vm="254">
        <f ca="1"/>
        <v>25806241</v>
      </c>
      <c r="F12" s="12" vm="255">
        <f ca="1"/>
        <v>19309544</v>
      </c>
      <c r="G12" s="12" vm="256">
        <f ca="1"/>
        <v>15629609</v>
      </c>
    </row>
    <row r="13" spans="1:10" ht="20.100000000000001" customHeight="1" x14ac:dyDescent="0.25">
      <c r="B13" s="5" t="s">
        <v>11</v>
      </c>
      <c r="C13" s="5" cm="1" vm="257">
        <f t="array" aca="1" ref="C13:G13" ca="1">TRANSPOSE(_xlfn.STOCKHISTORY(B13,$H$4,$H$6,2,0,5))</f>
        <v>5752</v>
      </c>
      <c r="D13" s="12" vm="258">
        <f ca="1"/>
        <v>3712</v>
      </c>
      <c r="E13" s="12" vm="259">
        <f ca="1"/>
        <v>4613</v>
      </c>
      <c r="F13" s="12" vm="260">
        <f ca="1"/>
        <v>2782</v>
      </c>
      <c r="G13" s="12" vm="261">
        <f ca="1"/>
        <v>3402</v>
      </c>
    </row>
    <row r="16" spans="1:10" ht="20.100000000000001" customHeight="1" x14ac:dyDescent="0.25">
      <c r="J16" s="11" t="s">
        <v>16</v>
      </c>
    </row>
    <row r="17" spans="10:13" ht="20.100000000000001" customHeight="1" x14ac:dyDescent="0.25">
      <c r="K17" s="11" t="s">
        <v>16</v>
      </c>
    </row>
    <row r="19" spans="10:13" ht="20.100000000000001" customHeight="1" x14ac:dyDescent="0.25">
      <c r="J19" s="11" t="s">
        <v>16</v>
      </c>
    </row>
    <row r="24" spans="10:13" ht="20.100000000000001" customHeight="1" x14ac:dyDescent="0.25">
      <c r="K24" s="11" t="s">
        <v>16</v>
      </c>
    </row>
    <row r="25" spans="10:13" ht="20.100000000000001" customHeight="1" x14ac:dyDescent="0.25">
      <c r="M25" s="11" t="s">
        <v>16</v>
      </c>
    </row>
    <row r="29" spans="10:13" ht="20.100000000000001" customHeight="1" x14ac:dyDescent="0.25">
      <c r="M29" s="11" t="s">
        <v>16</v>
      </c>
    </row>
  </sheetData>
  <mergeCells count="1">
    <mergeCell ref="B1:G1"/>
  </mergeCells>
  <conditionalFormatting sqref="B4:B9">
    <cfRule type="duplicateValues" dxfId="7" priority="3" stopIfTrue="1"/>
  </conditionalFormatting>
  <conditionalFormatting sqref="B10:B13">
    <cfRule type="duplicateValues" dxfId="6" priority="2" stopIfTrue="1"/>
  </conditionalFormatting>
  <conditionalFormatting sqref="C4:G4 D5:G5 C5:C13">
    <cfRule type="duplicateValues" dxfId="5" priority="1" stopIfTrue="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9398-0524-4548-BDAE-BB3B2181D2B4}">
  <dimension ref="A1:K17"/>
  <sheetViews>
    <sheetView showGridLines="0" zoomScale="120" zoomScaleNormal="120" workbookViewId="0">
      <selection activeCell="E4" sqref="E4"/>
    </sheetView>
  </sheetViews>
  <sheetFormatPr defaultRowHeight="20.100000000000001" customHeight="1" x14ac:dyDescent="0.25"/>
  <cols>
    <col min="1" max="1" width="3.28515625" customWidth="1"/>
    <col min="2" max="2" width="13.85546875" customWidth="1"/>
    <col min="3" max="3" width="12.5703125" customWidth="1"/>
    <col min="4" max="6" width="11.140625" bestFit="1" customWidth="1"/>
    <col min="7" max="7" width="10.85546875" customWidth="1"/>
    <col min="8" max="8" width="15.85546875" customWidth="1"/>
    <col min="9" max="9" width="10" customWidth="1"/>
  </cols>
  <sheetData>
    <row r="1" spans="1:8" ht="20.100000000000001" customHeight="1" x14ac:dyDescent="0.25">
      <c r="A1" s="1"/>
      <c r="B1" s="2" t="s">
        <v>22</v>
      </c>
      <c r="C1" s="2"/>
      <c r="D1" s="2"/>
      <c r="E1" s="2"/>
      <c r="F1" s="2"/>
      <c r="G1" s="2"/>
    </row>
    <row r="3" spans="1:8" ht="20.100000000000001" customHeight="1" x14ac:dyDescent="0.25">
      <c r="B3" s="7" t="s">
        <v>1</v>
      </c>
      <c r="C3" s="7" t="s">
        <v>17</v>
      </c>
      <c r="D3" s="7" t="s">
        <v>18</v>
      </c>
      <c r="E3" s="7" t="s">
        <v>19</v>
      </c>
      <c r="F3" s="7" t="s">
        <v>20</v>
      </c>
      <c r="G3" s="7" t="s">
        <v>21</v>
      </c>
      <c r="H3" s="7" t="s">
        <v>23</v>
      </c>
    </row>
    <row r="4" spans="1:8" ht="20.100000000000001" customHeight="1" x14ac:dyDescent="0.25">
      <c r="B4" s="5" t="s">
        <v>2</v>
      </c>
      <c r="C4" s="5" vm="16">
        <v>2386.6</v>
      </c>
      <c r="D4" s="5" vm="17">
        <v>2359.5500000000002</v>
      </c>
      <c r="E4" s="5" vm="18">
        <v>2634.75</v>
      </c>
      <c r="F4" s="5" vm="19">
        <v>2790.25</v>
      </c>
      <c r="G4" s="5" vm="20">
        <v>2612</v>
      </c>
      <c r="H4" s="12"/>
    </row>
    <row r="5" spans="1:8" ht="20.100000000000001" customHeight="1" x14ac:dyDescent="0.25">
      <c r="B5" s="5" t="s">
        <v>3</v>
      </c>
      <c r="C5" s="5" vm="21">
        <v>10.199999999999999</v>
      </c>
      <c r="D5" s="5" vm="22">
        <v>8.83</v>
      </c>
      <c r="E5" s="5" vm="23">
        <v>8.17</v>
      </c>
      <c r="F5" s="5" vm="24">
        <v>7.65</v>
      </c>
      <c r="G5" s="5" vm="25">
        <v>7.13</v>
      </c>
      <c r="H5" s="8"/>
    </row>
    <row r="6" spans="1:8" ht="20.100000000000001" customHeight="1" x14ac:dyDescent="0.25">
      <c r="B6" s="5" t="s">
        <v>4</v>
      </c>
      <c r="C6" s="5" vm="26">
        <v>1485.7</v>
      </c>
      <c r="D6" s="12" vm="27">
        <v>1426.25</v>
      </c>
      <c r="E6" s="12" vm="28">
        <v>1470.35</v>
      </c>
      <c r="F6" s="12" vm="29">
        <v>1384.6</v>
      </c>
      <c r="G6" s="12" vm="30">
        <v>1328.8</v>
      </c>
      <c r="H6" s="12"/>
    </row>
    <row r="7" spans="1:8" ht="20.100000000000001" customHeight="1" x14ac:dyDescent="0.25">
      <c r="B7" s="5" t="s">
        <v>5</v>
      </c>
      <c r="C7" s="5" vm="31">
        <v>23.57</v>
      </c>
      <c r="D7" s="12" vm="32">
        <v>22.46</v>
      </c>
      <c r="E7" s="12" vm="33">
        <v>24.89</v>
      </c>
      <c r="F7" s="12" vm="34">
        <v>19.87</v>
      </c>
      <c r="G7" s="12" vm="35">
        <v>18.14</v>
      </c>
      <c r="H7" s="8"/>
    </row>
    <row r="8" spans="1:8" ht="20.100000000000001" customHeight="1" x14ac:dyDescent="0.25">
      <c r="B8" s="5" t="s">
        <v>6</v>
      </c>
      <c r="C8" s="5" vm="36">
        <v>788.8</v>
      </c>
      <c r="D8" s="12" vm="37">
        <v>742.7</v>
      </c>
      <c r="E8" s="12" vm="38">
        <v>730.3</v>
      </c>
      <c r="F8" s="12" vm="39">
        <v>743.3</v>
      </c>
      <c r="G8" s="12" vm="40">
        <v>713.35</v>
      </c>
      <c r="H8" s="12"/>
    </row>
    <row r="9" spans="1:8" ht="20.100000000000001" customHeight="1" x14ac:dyDescent="0.25">
      <c r="B9" s="5" t="s">
        <v>7</v>
      </c>
      <c r="C9" s="5" vm="41">
        <v>2273.75</v>
      </c>
      <c r="D9" s="12" vm="42">
        <v>2172.1</v>
      </c>
      <c r="E9" s="12" vm="43">
        <v>2048.65</v>
      </c>
      <c r="F9" s="12" vm="44">
        <v>2234.85</v>
      </c>
      <c r="G9" s="12" vm="45">
        <v>2298.6999999999998</v>
      </c>
      <c r="H9" s="8"/>
    </row>
    <row r="10" spans="1:8" ht="20.100000000000001" customHeight="1" x14ac:dyDescent="0.25">
      <c r="B10" s="5" t="s">
        <v>8</v>
      </c>
      <c r="C10" s="5" vm="46">
        <v>159.80000000000001</v>
      </c>
      <c r="D10" s="12" vm="47">
        <v>169.55</v>
      </c>
      <c r="E10" s="12" vm="48">
        <v>183.05</v>
      </c>
      <c r="F10" s="12" vm="49">
        <v>182.85</v>
      </c>
      <c r="G10" s="12" vm="50">
        <v>180.7</v>
      </c>
      <c r="H10" s="12"/>
    </row>
    <row r="11" spans="1:8" ht="20.100000000000001" customHeight="1" x14ac:dyDescent="0.25">
      <c r="B11" s="5" t="s">
        <v>9</v>
      </c>
      <c r="C11" s="5" vm="51">
        <v>125.2</v>
      </c>
      <c r="D11" s="12" vm="52">
        <v>115</v>
      </c>
      <c r="E11" s="12" vm="53">
        <v>118.95</v>
      </c>
      <c r="F11" s="12" vm="54">
        <v>126</v>
      </c>
      <c r="G11" s="12" vm="55">
        <v>114.8</v>
      </c>
      <c r="H11" s="8"/>
    </row>
    <row r="12" spans="1:8" ht="20.100000000000001" customHeight="1" x14ac:dyDescent="0.25">
      <c r="B12" s="5" t="s">
        <v>10</v>
      </c>
      <c r="C12" s="5" vm="56">
        <v>1727.5</v>
      </c>
      <c r="D12" s="12" vm="57">
        <v>1598.5</v>
      </c>
      <c r="E12" s="12" vm="58">
        <v>1664</v>
      </c>
      <c r="F12" s="12" vm="59">
        <v>1692.3</v>
      </c>
      <c r="G12" s="12" vm="60">
        <v>1375.55</v>
      </c>
      <c r="H12" s="12"/>
    </row>
    <row r="13" spans="1:8" ht="20.100000000000001" customHeight="1" x14ac:dyDescent="0.25">
      <c r="B13" s="5" t="s">
        <v>11</v>
      </c>
      <c r="C13" s="5" vm="61">
        <v>1195</v>
      </c>
      <c r="D13" s="12" vm="62">
        <v>1165</v>
      </c>
      <c r="E13" s="12" vm="63">
        <v>1105</v>
      </c>
      <c r="F13" s="12" vm="64">
        <v>1217.5</v>
      </c>
      <c r="G13" s="12" vm="65">
        <v>1062.5</v>
      </c>
      <c r="H13" s="8"/>
    </row>
    <row r="17" spans="11:11" ht="20.100000000000001" customHeight="1" x14ac:dyDescent="0.25">
      <c r="K17" s="11" t="s">
        <v>16</v>
      </c>
    </row>
  </sheetData>
  <mergeCells count="1">
    <mergeCell ref="B1:G1"/>
  </mergeCells>
  <conditionalFormatting sqref="B4:B9">
    <cfRule type="duplicateValues" dxfId="4" priority="3" stopIfTrue="1"/>
  </conditionalFormatting>
  <conditionalFormatting sqref="B10:B13">
    <cfRule type="duplicateValues" dxfId="3" priority="2" stopIfTrue="1"/>
  </conditionalFormatting>
  <conditionalFormatting sqref="C4:G4 D5:G5 C5:C13">
    <cfRule type="duplicateValues" dxfId="2" priority="1" stopIfTrue="1"/>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93D83B46-8BC5-416B-A3D9-6D80BA339788}">
          <x14:colorSeries rgb="FF376092"/>
          <x14:colorNegative rgb="FFD00000"/>
          <x14:colorAxis rgb="FF000000"/>
          <x14:colorMarkers rgb="FFD00000"/>
          <x14:colorFirst rgb="FFD00000"/>
          <x14:colorLast rgb="FFD00000"/>
          <x14:colorHigh rgb="FFD00000"/>
          <x14:colorLow rgb="FFD00000"/>
          <x14:sparklines>
            <x14:sparkline>
              <xm:f>Sparkline!C5:G5</xm:f>
              <xm:sqref>H5</xm:sqref>
            </x14:sparkline>
            <x14:sparkline>
              <xm:f>Sparkline!C7:G7</xm:f>
              <xm:sqref>H7</xm:sqref>
            </x14:sparkline>
            <x14:sparkline>
              <xm:f>Sparkline!C9:G9</xm:f>
              <xm:sqref>H9</xm:sqref>
            </x14:sparkline>
            <x14:sparkline>
              <xm:f>Sparkline!C11:G11</xm:f>
              <xm:sqref>H11</xm:sqref>
            </x14:sparkline>
            <x14:sparkline>
              <xm:f>Sparkline!C13:G13</xm:f>
              <xm:sqref>H13</xm:sqref>
            </x14:sparkline>
          </x14:sparklines>
        </x14:sparklineGroup>
        <x14:sparklineGroup displayEmptyCellsAs="gap" xr2:uid="{6693F74F-750F-47BB-B02F-862FE6D5A994}">
          <x14:colorSeries rgb="FF376092"/>
          <x14:colorNegative rgb="FFD00000"/>
          <x14:colorAxis rgb="FF000000"/>
          <x14:colorMarkers rgb="FFD00000"/>
          <x14:colorFirst rgb="FFD00000"/>
          <x14:colorLast rgb="FFD00000"/>
          <x14:colorHigh rgb="FFD00000"/>
          <x14:colorLow rgb="FFD00000"/>
          <x14:sparklines>
            <x14:sparkline>
              <xm:f>Sparkline!C4:G4</xm:f>
              <xm:sqref>H4</xm:sqref>
            </x14:sparkline>
            <x14:sparkline>
              <xm:f>Sparkline!C6:G6</xm:f>
              <xm:sqref>H6</xm:sqref>
            </x14:sparkline>
            <x14:sparkline>
              <xm:f>Sparkline!C8:G8</xm:f>
              <xm:sqref>H8</xm:sqref>
            </x14:sparkline>
            <x14:sparkline>
              <xm:f>Sparkline!C10:G10</xm:f>
              <xm:sqref>H10</xm:sqref>
            </x14:sparkline>
            <x14:sparkline>
              <xm:f>Sparkline!C12:G12</xm:f>
              <xm:sqref>H12</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F191-CC32-4955-87E1-5666115F8965}">
  <dimension ref="A1:D13"/>
  <sheetViews>
    <sheetView showGridLines="0" zoomScale="120" zoomScaleNormal="120" workbookViewId="0">
      <selection activeCell="O38" sqref="O38"/>
    </sheetView>
  </sheetViews>
  <sheetFormatPr defaultRowHeight="20.100000000000001" customHeight="1" x14ac:dyDescent="0.25"/>
  <cols>
    <col min="1" max="1" width="4.7109375" customWidth="1"/>
    <col min="2" max="2" width="15.5703125" customWidth="1"/>
    <col min="3" max="3" width="10.42578125" customWidth="1"/>
    <col min="4" max="4" width="10.28515625" customWidth="1"/>
    <col min="5" max="5" width="11.140625" bestFit="1" customWidth="1"/>
  </cols>
  <sheetData>
    <row r="1" spans="1:4" ht="20.100000000000001" customHeight="1" x14ac:dyDescent="0.25">
      <c r="A1" s="1"/>
      <c r="B1" s="2" t="s">
        <v>24</v>
      </c>
      <c r="C1" s="2"/>
      <c r="D1" s="2"/>
    </row>
    <row r="3" spans="1:4" ht="20.100000000000001" customHeight="1" x14ac:dyDescent="0.25">
      <c r="B3" s="3" t="s">
        <v>1</v>
      </c>
      <c r="C3" s="3"/>
      <c r="D3" s="3"/>
    </row>
    <row r="4" spans="1:4" ht="20.100000000000001" customHeight="1" x14ac:dyDescent="0.25">
      <c r="B4" s="6" t="s">
        <v>2</v>
      </c>
      <c r="C4" s="6"/>
      <c r="D4" s="6"/>
    </row>
    <row r="5" spans="1:4" ht="20.100000000000001" customHeight="1" x14ac:dyDescent="0.25">
      <c r="B5" s="6" t="s">
        <v>3</v>
      </c>
      <c r="C5" s="6"/>
      <c r="D5" s="6"/>
    </row>
    <row r="6" spans="1:4" ht="20.100000000000001" customHeight="1" x14ac:dyDescent="0.25">
      <c r="B6" s="6" t="s">
        <v>4</v>
      </c>
      <c r="C6" s="6"/>
      <c r="D6" s="6"/>
    </row>
    <row r="7" spans="1:4" ht="20.100000000000001" customHeight="1" x14ac:dyDescent="0.25">
      <c r="B7" s="6" t="s">
        <v>5</v>
      </c>
      <c r="C7" s="6"/>
      <c r="D7" s="6"/>
    </row>
    <row r="8" spans="1:4" ht="20.100000000000001" customHeight="1" x14ac:dyDescent="0.25">
      <c r="B8" s="6" t="s">
        <v>6</v>
      </c>
      <c r="C8" s="6"/>
      <c r="D8" s="6"/>
    </row>
    <row r="9" spans="1:4" ht="20.100000000000001" customHeight="1" x14ac:dyDescent="0.25">
      <c r="B9" s="6" t="s">
        <v>7</v>
      </c>
      <c r="C9" s="6"/>
      <c r="D9" s="6"/>
    </row>
    <row r="10" spans="1:4" ht="20.100000000000001" customHeight="1" x14ac:dyDescent="0.25">
      <c r="B10" s="6" t="s">
        <v>8</v>
      </c>
      <c r="C10" s="6"/>
      <c r="D10" s="6"/>
    </row>
    <row r="11" spans="1:4" ht="20.100000000000001" customHeight="1" x14ac:dyDescent="0.25">
      <c r="B11" s="6" t="s">
        <v>9</v>
      </c>
      <c r="C11" s="6"/>
      <c r="D11" s="6"/>
    </row>
    <row r="12" spans="1:4" ht="20.100000000000001" customHeight="1" x14ac:dyDescent="0.25">
      <c r="B12" s="6" t="s">
        <v>10</v>
      </c>
      <c r="C12" s="6"/>
      <c r="D12" s="6"/>
    </row>
    <row r="13" spans="1:4" ht="20.100000000000001" customHeight="1" x14ac:dyDescent="0.25">
      <c r="B13" s="6" t="s">
        <v>11</v>
      </c>
      <c r="C13" s="6"/>
      <c r="D13" s="6"/>
    </row>
  </sheetData>
  <mergeCells count="12">
    <mergeCell ref="B8:D8"/>
    <mergeCell ref="B9:D9"/>
    <mergeCell ref="B10:D10"/>
    <mergeCell ref="B11:D11"/>
    <mergeCell ref="B12:D12"/>
    <mergeCell ref="B13:D13"/>
    <mergeCell ref="B1:D1"/>
    <mergeCell ref="B3:D3"/>
    <mergeCell ref="B4:D4"/>
    <mergeCell ref="B5:D5"/>
    <mergeCell ref="B6:D6"/>
    <mergeCell ref="B7:D7"/>
  </mergeCells>
  <conditionalFormatting sqref="B4:B9">
    <cfRule type="duplicateValues" dxfId="1" priority="2" stopIfTrue="1"/>
  </conditionalFormatting>
  <conditionalFormatting sqref="B10:B13">
    <cfRule type="duplicateValues" dxfId="0" priority="1"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Details</vt:lpstr>
      <vt:lpstr>Close</vt:lpstr>
      <vt:lpstr>Open</vt:lpstr>
      <vt:lpstr>High</vt:lpstr>
      <vt:lpstr>Low</vt:lpstr>
      <vt:lpstr>Volume</vt:lpstr>
      <vt:lpstr>Sparkline</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Mima</dc:creator>
  <cp:lastModifiedBy>Mima</cp:lastModifiedBy>
  <dcterms:created xsi:type="dcterms:W3CDTF">2022-05-26T05:21:50Z</dcterms:created>
  <dcterms:modified xsi:type="dcterms:W3CDTF">2022-05-26T10:22:28Z</dcterms:modified>
</cp:coreProperties>
</file>